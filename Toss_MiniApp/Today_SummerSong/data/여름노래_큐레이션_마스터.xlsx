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큐레이션마스터" sheetId="1" state="visible" r:id="rId1"/>
    <sheet xmlns:r="http://schemas.openxmlformats.org/officeDocument/2006/relationships" name="집계" sheetId="2" state="visible" r:id="rId2"/>
    <sheet xmlns:r="http://schemas.openxmlformats.org/officeDocument/2006/relationships" name="카테고리정의" sheetId="3" state="visible" r:id="rId3"/>
    <sheet xmlns:r="http://schemas.openxmlformats.org/officeDocument/2006/relationships" name="가이드" sheetId="4" state="visible" r:id="rId4"/>
  </sheets>
  <definedNames>
    <definedName name="_xlnm._FilterDatabase" localSheetId="0" hidden="1">'큐레이션마스터'!$A$1:$Q$512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color rgb="FF222222"/>
      <sz val="10"/>
    </font>
    <font>
      <name val="Noto Sans CJK SC"/>
      <charset val="1"/>
      <family val="2"/>
      <color rgb="FF222222"/>
      <sz val="10"/>
    </font>
    <font>
      <name val="Noto Sans CJK SC"/>
      <family val="2"/>
      <color rgb="FF222222"/>
      <sz val="10"/>
    </font>
    <font>
      <name val="Noto Sans CJK SC"/>
      <charset val="1"/>
      <family val="2"/>
      <b val="1"/>
      <color rgb="FFE8542E"/>
      <sz val="12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E8542E"/>
      <sz val="11"/>
    </font>
    <font>
      <name val="Arial"/>
      <b val="1"/>
      <color rgb="00E8542E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FFE8542E"/>
        <bgColor rgb="FFFF8080"/>
      </patternFill>
    </fill>
  </fills>
  <borders count="2">
    <border>
      <left/>
      <right/>
      <top/>
      <bottom/>
      <diagonal/>
    </border>
    <border>
      <left style="thin">
        <color rgb="FFEFE8DD"/>
      </left>
      <right style="thin">
        <color rgb="FFEFE8DD"/>
      </right>
      <top style="thin">
        <color rgb="FFEFE8DD"/>
      </top>
      <bottom style="thin">
        <color rgb="FFEFE8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E854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8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42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3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16" min="1" max="1"/>
    <col width="32" customWidth="1" style="16" min="2" max="2"/>
    <col width="16" customWidth="1" style="16" min="3" max="3"/>
    <col width="7" customWidth="1" style="16" min="4" max="4"/>
    <col width="10" customWidth="1" style="16" min="5" max="5"/>
    <col width="18" customWidth="1" style="16" min="6" max="6"/>
    <col width="8" customWidth="1" style="16" min="7" max="7"/>
    <col width="13" customWidth="1" style="16" min="8" max="8"/>
    <col width="26" customWidth="1" style="16" min="9" max="9"/>
    <col width="34" customWidth="1" style="16" min="10" max="10"/>
    <col width="40" customWidth="1" style="16" min="11" max="11"/>
    <col width="12" customWidth="1" style="16" min="12" max="12"/>
    <col width="10" customWidth="1" style="16" min="13" max="13"/>
    <col width="15" customWidth="1" style="16" min="14" max="14"/>
    <col width="26" customWidth="1" style="16" min="15" max="15"/>
    <col width="46" customWidth="1" style="16" min="16" max="17"/>
  </cols>
  <sheetData>
    <row r="1" ht="15" customHeight="1" s="17">
      <c r="A1" s="18" t="inlineStr">
        <is>
          <t>id</t>
        </is>
      </c>
      <c r="B1" s="19" t="inlineStr">
        <is>
          <t>곡명</t>
        </is>
      </c>
      <c r="C1" s="19" t="inlineStr">
        <is>
          <t>아티스트</t>
        </is>
      </c>
      <c r="D1" s="19" t="inlineStr">
        <is>
          <t>연도</t>
        </is>
      </c>
      <c r="E1" s="19" t="inlineStr">
        <is>
          <t>무드</t>
        </is>
      </c>
      <c r="F1" s="19" t="inlineStr">
        <is>
          <t>순간</t>
        </is>
      </c>
      <c r="G1" s="19" t="inlineStr">
        <is>
          <t>그룹</t>
        </is>
      </c>
      <c r="H1" s="18" t="inlineStr">
        <is>
          <t>videoId</t>
        </is>
      </c>
      <c r="I1" s="19" t="inlineStr">
        <is>
          <t>유튜브URL</t>
        </is>
      </c>
      <c r="J1" s="19" t="inlineStr">
        <is>
          <t>유튜브뮤직URL</t>
        </is>
      </c>
      <c r="K1" s="19" t="inlineStr">
        <is>
          <t>썸네일URL</t>
        </is>
      </c>
      <c r="L1" s="19" t="inlineStr">
        <is>
          <t>공식채널확인</t>
        </is>
      </c>
      <c r="M1" s="19" t="inlineStr">
        <is>
          <t>검증완료</t>
        </is>
      </c>
      <c r="N1" s="19" t="inlineStr">
        <is>
          <t>타겟적합(20-30)</t>
        </is>
      </c>
      <c r="O1" s="19" t="inlineStr">
        <is>
          <t>비고</t>
        </is>
      </c>
      <c r="P1" s="20" t="inlineStr">
        <is>
          <t>유튜브 열기(자동)</t>
        </is>
      </c>
      <c r="Q1" s="20" t="inlineStr">
        <is>
          <t>유튜브뮤직 열기(자동)</t>
        </is>
      </c>
    </row>
    <row r="2" ht="15" customHeight="1" s="17">
      <c r="A2" s="21" t="inlineStr">
        <is>
          <t>S001</t>
        </is>
      </c>
      <c r="B2" s="22" t="inlineStr">
        <is>
          <t>How Sweet</t>
        </is>
      </c>
      <c r="C2" s="22" t="inlineStr">
        <is>
          <t>NewJeans</t>
        </is>
      </c>
      <c r="D2" s="23" t="inlineStr">
        <is>
          <t>2024</t>
        </is>
      </c>
      <c r="E2" s="24" t="inlineStr">
        <is>
          <t>상큼발랄</t>
        </is>
      </c>
      <c r="F2" s="25" t="inlineStr">
        <is>
          <t>바다, 드라이브</t>
        </is>
      </c>
      <c r="G2" s="24" t="inlineStr">
        <is>
          <t>여돌</t>
        </is>
      </c>
      <c r="H2" s="22" t="n"/>
      <c r="I2" s="22">
        <f>IF($H2="","","https://youtu.be/"&amp;$H2)</f>
        <v/>
      </c>
      <c r="J2" s="22">
        <f>IF($H2="","","https://music.youtube.com/watch?v="&amp;$H2)</f>
        <v/>
      </c>
      <c r="K2" s="22">
        <f>IF($H2="","","https://img.youtube.com/vi/"&amp;$H2&amp;"/hqdefault.jpg")</f>
        <v/>
      </c>
      <c r="L2" s="24" t="inlineStr">
        <is>
          <t>확인필요</t>
        </is>
      </c>
      <c r="M2" s="21" t="inlineStr">
        <is>
          <t>N</t>
        </is>
      </c>
      <c r="N2" s="24" t="inlineStr">
        <is>
          <t>높음</t>
        </is>
      </c>
      <c r="O2" s="25" t="inlineStr">
        <is>
          <t>씨앗(검증 전)</t>
        </is>
      </c>
      <c r="P2" s="22" t="inlineStr">
        <is>
          <t>https://www.youtube.com/results?search_query=NewJeans%20How%20Sweet</t>
        </is>
      </c>
      <c r="Q2" s="22" t="inlineStr">
        <is>
          <t>https://music.youtube.com/search?q=NewJeans%20How%20Sweet</t>
        </is>
      </c>
    </row>
    <row r="3" ht="15" customHeight="1" s="17">
      <c r="A3" s="21" t="inlineStr">
        <is>
          <t>S002</t>
        </is>
      </c>
      <c r="B3" s="22" t="inlineStr">
        <is>
          <t>Cake</t>
        </is>
      </c>
      <c r="C3" s="25" t="inlineStr">
        <is>
          <t>있지</t>
        </is>
      </c>
      <c r="D3" s="23" t="inlineStr">
        <is>
          <t>2023</t>
        </is>
      </c>
      <c r="E3" s="24" t="inlineStr">
        <is>
          <t>상큼발랄</t>
        </is>
      </c>
      <c r="F3" s="25" t="inlineStr">
        <is>
          <t>바다</t>
        </is>
      </c>
      <c r="G3" s="24" t="inlineStr">
        <is>
          <t>여돌</t>
        </is>
      </c>
      <c r="H3" s="22" t="n"/>
      <c r="I3" s="22">
        <f>IF($H3="","","https://youtu.be/"&amp;$H3)</f>
        <v/>
      </c>
      <c r="J3" s="22">
        <f>IF($H3="","","https://music.youtube.com/watch?v="&amp;$H3)</f>
        <v/>
      </c>
      <c r="K3" s="22">
        <f>IF($H3="","","https://img.youtube.com/vi/"&amp;$H3&amp;"/hqdefault.jpg")</f>
        <v/>
      </c>
      <c r="L3" s="24" t="inlineStr">
        <is>
          <t>확인필요</t>
        </is>
      </c>
      <c r="M3" s="21" t="inlineStr">
        <is>
          <t>N</t>
        </is>
      </c>
      <c r="N3" s="24" t="inlineStr">
        <is>
          <t>높음</t>
        </is>
      </c>
      <c r="O3" s="25" t="inlineStr">
        <is>
          <t>씨앗(검증 전)</t>
        </is>
      </c>
      <c r="P3" s="22" t="inlineStr">
        <is>
          <t>https://www.youtube.com/results?search_query=%EC%9E%88%EC%A7%80%20Cake</t>
        </is>
      </c>
      <c r="Q3" s="22" t="inlineStr">
        <is>
          <t>https://music.youtube.com/search?q=%EC%9E%88%EC%A7%80%20Cake</t>
        </is>
      </c>
    </row>
    <row r="4" ht="15" customHeight="1" s="17">
      <c r="A4" s="21" t="inlineStr">
        <is>
          <t>S003</t>
        </is>
      </c>
      <c r="B4" s="22" t="inlineStr">
        <is>
          <t>Cupid</t>
        </is>
      </c>
      <c r="C4" s="25" t="inlineStr">
        <is>
          <t>피프티 피프티</t>
        </is>
      </c>
      <c r="D4" s="23" t="inlineStr">
        <is>
          <t>2023</t>
        </is>
      </c>
      <c r="E4" s="24" t="inlineStr">
        <is>
          <t>상큼발랄</t>
        </is>
      </c>
      <c r="F4" s="25" t="inlineStr">
        <is>
          <t>바다</t>
        </is>
      </c>
      <c r="G4" s="24" t="inlineStr">
        <is>
          <t>여돌</t>
        </is>
      </c>
      <c r="H4" s="22" t="n"/>
      <c r="I4" s="22">
        <f>IF($H4="","","https://youtu.be/"&amp;$H4)</f>
        <v/>
      </c>
      <c r="J4" s="22">
        <f>IF($H4="","","https://music.youtube.com/watch?v="&amp;$H4)</f>
        <v/>
      </c>
      <c r="K4" s="22">
        <f>IF($H4="","","https://img.youtube.com/vi/"&amp;$H4&amp;"/hqdefault.jpg")</f>
        <v/>
      </c>
      <c r="L4" s="24" t="inlineStr">
        <is>
          <t>확인필요</t>
        </is>
      </c>
      <c r="M4" s="21" t="inlineStr">
        <is>
          <t>N</t>
        </is>
      </c>
      <c r="N4" s="24" t="inlineStr">
        <is>
          <t>높음</t>
        </is>
      </c>
      <c r="O4" s="25" t="inlineStr">
        <is>
          <t>씨앗(검증 전)</t>
        </is>
      </c>
      <c r="P4" s="22" t="inlineStr">
        <is>
          <t>https://www.youtube.com/results?search_query=%ED%94%BC%ED%94%84%ED%8B%B0%20%ED%94%BC%ED%94%84%ED%8B%B0%20Cupid</t>
        </is>
      </c>
      <c r="Q4" s="22" t="inlineStr">
        <is>
          <t>https://music.youtube.com/search?q=%ED%94%BC%ED%94%84%ED%8B%B0%20%ED%94%BC%ED%94%84%ED%8B%B0%20Cupid</t>
        </is>
      </c>
    </row>
    <row r="5" ht="15" customHeight="1" s="17">
      <c r="A5" s="21" t="inlineStr">
        <is>
          <t>S004</t>
        </is>
      </c>
      <c r="B5" s="22" t="inlineStr">
        <is>
          <t>Kitsch</t>
        </is>
      </c>
      <c r="C5" s="22" t="inlineStr">
        <is>
          <t>IVE</t>
        </is>
      </c>
      <c r="D5" s="23" t="inlineStr">
        <is>
          <t>2023</t>
        </is>
      </c>
      <c r="E5" s="24" t="inlineStr">
        <is>
          <t>상큼발랄</t>
        </is>
      </c>
      <c r="F5" s="25" t="inlineStr">
        <is>
          <t>바다</t>
        </is>
      </c>
      <c r="G5" s="24" t="inlineStr">
        <is>
          <t>여돌</t>
        </is>
      </c>
      <c r="H5" s="22" t="n"/>
      <c r="I5" s="22">
        <f>IF($H5="","","https://youtu.be/"&amp;$H5)</f>
        <v/>
      </c>
      <c r="J5" s="22">
        <f>IF($H5="","","https://music.youtube.com/watch?v="&amp;$H5)</f>
        <v/>
      </c>
      <c r="K5" s="22">
        <f>IF($H5="","","https://img.youtube.com/vi/"&amp;$H5&amp;"/hqdefault.jpg")</f>
        <v/>
      </c>
      <c r="L5" s="24" t="inlineStr">
        <is>
          <t>확인필요</t>
        </is>
      </c>
      <c r="M5" s="21" t="inlineStr">
        <is>
          <t>N</t>
        </is>
      </c>
      <c r="N5" s="24" t="inlineStr">
        <is>
          <t>높음</t>
        </is>
      </c>
      <c r="O5" s="25" t="inlineStr">
        <is>
          <t>씨앗(검증 전)</t>
        </is>
      </c>
      <c r="P5" s="22" t="inlineStr">
        <is>
          <t>https://www.youtube.com/results?search_query=IVE%20Kitsch</t>
        </is>
      </c>
      <c r="Q5" s="22" t="inlineStr">
        <is>
          <t>https://music.youtube.com/search?q=IVE%20Kitsch</t>
        </is>
      </c>
    </row>
    <row r="6" ht="15" customHeight="1" s="17">
      <c r="A6" s="21" t="inlineStr">
        <is>
          <t>S005</t>
        </is>
      </c>
      <c r="B6" s="22" t="inlineStr">
        <is>
          <t>Queencard (퀸카)</t>
        </is>
      </c>
      <c r="C6" s="25" t="inlineStr">
        <is>
          <t>여자아이들</t>
        </is>
      </c>
      <c r="D6" s="23" t="inlineStr">
        <is>
          <t>2023</t>
        </is>
      </c>
      <c r="E6" s="24" t="inlineStr">
        <is>
          <t>상큼발랄</t>
        </is>
      </c>
      <c r="F6" s="25" t="inlineStr">
        <is>
          <t>바다</t>
        </is>
      </c>
      <c r="G6" s="24" t="inlineStr">
        <is>
          <t>여돌</t>
        </is>
      </c>
      <c r="H6" s="22" t="n"/>
      <c r="I6" s="22">
        <f>IF($H6="","","https://youtu.be/"&amp;$H6)</f>
        <v/>
      </c>
      <c r="J6" s="22">
        <f>IF($H6="","","https://music.youtube.com/watch?v="&amp;$H6)</f>
        <v/>
      </c>
      <c r="K6" s="22">
        <f>IF($H6="","","https://img.youtube.com/vi/"&amp;$H6&amp;"/hqdefault.jpg")</f>
        <v/>
      </c>
      <c r="L6" s="24" t="inlineStr">
        <is>
          <t>확인필요</t>
        </is>
      </c>
      <c r="M6" s="21" t="inlineStr">
        <is>
          <t>N</t>
        </is>
      </c>
      <c r="N6" s="24" t="inlineStr">
        <is>
          <t>높음</t>
        </is>
      </c>
      <c r="O6" s="25" t="inlineStr">
        <is>
          <t>씨앗(검증 전)</t>
        </is>
      </c>
      <c r="P6" s="22" t="inlineStr">
        <is>
          <t>https://www.youtube.com/results?search_query=%EC%97%AC%EC%9E%90%EC%95%84%EC%9D%B4%EB%93%A4%20Queencard%20%28%ED%80%B8%EC%B9%B4%29</t>
        </is>
      </c>
      <c r="Q6" s="22" t="inlineStr">
        <is>
          <t>https://music.youtube.com/search?q=%EC%97%AC%EC%9E%90%EC%95%84%EC%9D%B4%EB%93%A4%20Queencard%20%28%ED%80%B8%EC%B9%B4%29</t>
        </is>
      </c>
    </row>
    <row r="7" ht="15" customHeight="1" s="17">
      <c r="A7" s="21" t="inlineStr">
        <is>
          <t>S006</t>
        </is>
      </c>
      <c r="B7" s="22" t="inlineStr">
        <is>
          <t>Teddy Bear</t>
        </is>
      </c>
      <c r="C7" s="22" t="inlineStr">
        <is>
          <t>STAYC</t>
        </is>
      </c>
      <c r="D7" s="23" t="inlineStr">
        <is>
          <t>2023</t>
        </is>
      </c>
      <c r="E7" s="24" t="inlineStr">
        <is>
          <t>상큼발랄</t>
        </is>
      </c>
      <c r="F7" s="25" t="inlineStr">
        <is>
          <t>바다, 드라이브</t>
        </is>
      </c>
      <c r="G7" s="24" t="inlineStr">
        <is>
          <t>여돌</t>
        </is>
      </c>
      <c r="H7" s="22" t="n"/>
      <c r="I7" s="22">
        <f>IF($H7="","","https://youtu.be/"&amp;$H7)</f>
        <v/>
      </c>
      <c r="J7" s="22">
        <f>IF($H7="","","https://music.youtube.com/watch?v="&amp;$H7)</f>
        <v/>
      </c>
      <c r="K7" s="22">
        <f>IF($H7="","","https://img.youtube.com/vi/"&amp;$H7&amp;"/hqdefault.jpg")</f>
        <v/>
      </c>
      <c r="L7" s="24" t="inlineStr">
        <is>
          <t>확인필요</t>
        </is>
      </c>
      <c r="M7" s="21" t="inlineStr">
        <is>
          <t>N</t>
        </is>
      </c>
      <c r="N7" s="24" t="inlineStr">
        <is>
          <t>높음</t>
        </is>
      </c>
      <c r="O7" s="25" t="inlineStr">
        <is>
          <t>씨앗(검증 전)</t>
        </is>
      </c>
      <c r="P7" s="22" t="inlineStr">
        <is>
          <t>https://www.youtube.com/results?search_query=STAYC%20Teddy%20Bear</t>
        </is>
      </c>
      <c r="Q7" s="22" t="inlineStr">
        <is>
          <t>https://music.youtube.com/search?q=STAYC%20Teddy%20Bear</t>
        </is>
      </c>
    </row>
    <row r="8" ht="15" customHeight="1" s="17">
      <c r="A8" s="21" t="inlineStr">
        <is>
          <t>S007</t>
        </is>
      </c>
      <c r="B8" s="22" t="inlineStr">
        <is>
          <t>We Fresh</t>
        </is>
      </c>
      <c r="C8" s="25" t="inlineStr">
        <is>
          <t>케플러</t>
        </is>
      </c>
      <c r="D8" s="23" t="inlineStr">
        <is>
          <t>2023</t>
        </is>
      </c>
      <c r="E8" s="24" t="inlineStr">
        <is>
          <t>상큼발랄</t>
        </is>
      </c>
      <c r="F8" s="25" t="inlineStr">
        <is>
          <t>바다</t>
        </is>
      </c>
      <c r="G8" s="24" t="inlineStr">
        <is>
          <t>여돌</t>
        </is>
      </c>
      <c r="H8" s="22" t="n"/>
      <c r="I8" s="22">
        <f>IF($H8="","","https://youtu.be/"&amp;$H8)</f>
        <v/>
      </c>
      <c r="J8" s="22">
        <f>IF($H8="","","https://music.youtube.com/watch?v="&amp;$H8)</f>
        <v/>
      </c>
      <c r="K8" s="22">
        <f>IF($H8="","","https://img.youtube.com/vi/"&amp;$H8&amp;"/hqdefault.jpg")</f>
        <v/>
      </c>
      <c r="L8" s="24" t="inlineStr">
        <is>
          <t>확인필요</t>
        </is>
      </c>
      <c r="M8" s="21" t="inlineStr">
        <is>
          <t>N</t>
        </is>
      </c>
      <c r="N8" s="24" t="inlineStr">
        <is>
          <t>높음</t>
        </is>
      </c>
      <c r="O8" s="25" t="inlineStr">
        <is>
          <t>씨앗(검증 전)</t>
        </is>
      </c>
      <c r="P8" s="22" t="inlineStr">
        <is>
          <t>https://www.youtube.com/results?search_query=%EC%BC%80%ED%94%8C%EB%9F%AC%20We%20Fresh</t>
        </is>
      </c>
      <c r="Q8" s="22" t="inlineStr">
        <is>
          <t>https://music.youtube.com/search?q=%EC%BC%80%ED%94%8C%EB%9F%AC%20We%20Fresh</t>
        </is>
      </c>
    </row>
    <row r="9" ht="15" customHeight="1" s="17">
      <c r="A9" s="21" t="inlineStr">
        <is>
          <t>S008</t>
        </is>
      </c>
      <c r="B9" s="22" t="inlineStr">
        <is>
          <t>Birthday</t>
        </is>
      </c>
      <c r="C9" s="25" t="inlineStr">
        <is>
          <t>레드벨벳</t>
        </is>
      </c>
      <c r="D9" s="23" t="inlineStr">
        <is>
          <t>2022</t>
        </is>
      </c>
      <c r="E9" s="24" t="inlineStr">
        <is>
          <t>상큼발랄</t>
        </is>
      </c>
      <c r="F9" s="25" t="inlineStr">
        <is>
          <t>바다</t>
        </is>
      </c>
      <c r="G9" s="24" t="inlineStr">
        <is>
          <t>여돌</t>
        </is>
      </c>
      <c r="H9" s="22" t="n"/>
      <c r="I9" s="22">
        <f>IF($H9="","","https://youtu.be/"&amp;$H9)</f>
        <v/>
      </c>
      <c r="J9" s="22">
        <f>IF($H9="","","https://music.youtube.com/watch?v="&amp;$H9)</f>
        <v/>
      </c>
      <c r="K9" s="22">
        <f>IF($H9="","","https://img.youtube.com/vi/"&amp;$H9&amp;"/hqdefault.jpg")</f>
        <v/>
      </c>
      <c r="L9" s="24" t="inlineStr">
        <is>
          <t>확인필요</t>
        </is>
      </c>
      <c r="M9" s="21" t="inlineStr">
        <is>
          <t>N</t>
        </is>
      </c>
      <c r="N9" s="24" t="inlineStr">
        <is>
          <t>높음</t>
        </is>
      </c>
      <c r="O9" s="25" t="inlineStr">
        <is>
          <t>씨앗(검증 전)</t>
        </is>
      </c>
      <c r="P9" s="22" t="inlineStr">
        <is>
          <t>https://www.youtube.com/results?search_query=%EB%A0%88%EB%93%9C%EB%B2%A8%EB%B2%B3%20Birthday</t>
        </is>
      </c>
      <c r="Q9" s="22" t="inlineStr">
        <is>
          <t>https://music.youtube.com/search?q=%EB%A0%88%EB%93%9C%EB%B2%A8%EB%B2%B3%20Birthday</t>
        </is>
      </c>
    </row>
    <row r="10" ht="15" customHeight="1" s="17">
      <c r="A10" s="21" t="inlineStr">
        <is>
          <t>S009</t>
        </is>
      </c>
      <c r="B10" s="22" t="inlineStr">
        <is>
          <t>Fanfare</t>
        </is>
      </c>
      <c r="C10" s="25" t="inlineStr">
        <is>
          <t>트와이스</t>
        </is>
      </c>
      <c r="D10" s="23" t="inlineStr">
        <is>
          <t>2022</t>
        </is>
      </c>
      <c r="E10" s="24" t="inlineStr">
        <is>
          <t>상큼발랄</t>
        </is>
      </c>
      <c r="F10" s="25" t="inlineStr">
        <is>
          <t>바다, 드라이브</t>
        </is>
      </c>
      <c r="G10" s="24" t="inlineStr">
        <is>
          <t>여돌</t>
        </is>
      </c>
      <c r="H10" s="22" t="n"/>
      <c r="I10" s="22">
        <f>IF($H10="","","https://youtu.be/"&amp;$H10)</f>
        <v/>
      </c>
      <c r="J10" s="22">
        <f>IF($H10="","","https://music.youtube.com/watch?v="&amp;$H10)</f>
        <v/>
      </c>
      <c r="K10" s="22">
        <f>IF($H10="","","https://img.youtube.com/vi/"&amp;$H10&amp;"/hqdefault.jpg")</f>
        <v/>
      </c>
      <c r="L10" s="24" t="inlineStr">
        <is>
          <t>확인필요</t>
        </is>
      </c>
      <c r="M10" s="21" t="inlineStr">
        <is>
          <t>N</t>
        </is>
      </c>
      <c r="N10" s="24" t="inlineStr">
        <is>
          <t>높음</t>
        </is>
      </c>
      <c r="O10" s="25" t="inlineStr">
        <is>
          <t>씨앗(검증 전)</t>
        </is>
      </c>
      <c r="P10" s="22" t="inlineStr">
        <is>
          <t>https://www.youtube.com/results?search_query=%ED%8A%B8%EC%99%80%EC%9D%B4%EC%8A%A4%20Fanfare</t>
        </is>
      </c>
      <c r="Q10" s="22" t="inlineStr">
        <is>
          <t>https://music.youtube.com/search?q=%ED%8A%B8%EC%99%80%EC%9D%B4%EC%8A%A4%20Fanfare</t>
        </is>
      </c>
    </row>
    <row r="11" ht="15" customHeight="1" s="17">
      <c r="A11" s="21" t="inlineStr">
        <is>
          <t>S010</t>
        </is>
      </c>
      <c r="B11" s="22" t="inlineStr">
        <is>
          <t>Giddy</t>
        </is>
      </c>
      <c r="C11" s="25" t="inlineStr">
        <is>
          <t>케플러</t>
        </is>
      </c>
      <c r="D11" s="23" t="inlineStr">
        <is>
          <t>2022</t>
        </is>
      </c>
      <c r="E11" s="24" t="inlineStr">
        <is>
          <t>상큼발랄</t>
        </is>
      </c>
      <c r="F11" s="25" t="inlineStr">
        <is>
          <t>바다, 드라이브</t>
        </is>
      </c>
      <c r="G11" s="24" t="inlineStr">
        <is>
          <t>여돌</t>
        </is>
      </c>
      <c r="H11" s="22" t="n"/>
      <c r="I11" s="22">
        <f>IF($H11="","","https://youtu.be/"&amp;$H11)</f>
        <v/>
      </c>
      <c r="J11" s="22">
        <f>IF($H11="","","https://music.youtube.com/watch?v="&amp;$H11)</f>
        <v/>
      </c>
      <c r="K11" s="22">
        <f>IF($H11="","","https://img.youtube.com/vi/"&amp;$H11&amp;"/hqdefault.jpg")</f>
        <v/>
      </c>
      <c r="L11" s="24" t="inlineStr">
        <is>
          <t>확인필요</t>
        </is>
      </c>
      <c r="M11" s="21" t="inlineStr">
        <is>
          <t>N</t>
        </is>
      </c>
      <c r="N11" s="24" t="inlineStr">
        <is>
          <t>높음</t>
        </is>
      </c>
      <c r="O11" s="25" t="inlineStr">
        <is>
          <t>씨앗(검증 전)</t>
        </is>
      </c>
      <c r="P11" s="22" t="inlineStr">
        <is>
          <t>https://www.youtube.com/results?search_query=%EC%BC%80%ED%94%8C%EB%9F%AC%20Giddy</t>
        </is>
      </c>
      <c r="Q11" s="22" t="inlineStr">
        <is>
          <t>https://music.youtube.com/search?q=%EC%BC%80%ED%94%8C%EB%9F%AC%20Giddy</t>
        </is>
      </c>
    </row>
    <row r="12" ht="15" customHeight="1" s="17">
      <c r="A12" s="21" t="inlineStr">
        <is>
          <t>S011</t>
        </is>
      </c>
      <c r="B12" s="22" t="inlineStr">
        <is>
          <t>Sneakers</t>
        </is>
      </c>
      <c r="C12" s="25" t="inlineStr">
        <is>
          <t>있지</t>
        </is>
      </c>
      <c r="D12" s="23" t="inlineStr">
        <is>
          <t>2022</t>
        </is>
      </c>
      <c r="E12" s="24" t="inlineStr">
        <is>
          <t>상큼발랄</t>
        </is>
      </c>
      <c r="F12" s="25" t="inlineStr">
        <is>
          <t>바다, 드라이브</t>
        </is>
      </c>
      <c r="G12" s="24" t="inlineStr">
        <is>
          <t>여돌</t>
        </is>
      </c>
      <c r="H12" s="22" t="n"/>
      <c r="I12" s="22">
        <f>IF($H12="","","https://youtu.be/"&amp;$H12)</f>
        <v/>
      </c>
      <c r="J12" s="22">
        <f>IF($H12="","","https://music.youtube.com/watch?v="&amp;$H12)</f>
        <v/>
      </c>
      <c r="K12" s="22">
        <f>IF($H12="","","https://img.youtube.com/vi/"&amp;$H12&amp;"/hqdefault.jpg")</f>
        <v/>
      </c>
      <c r="L12" s="24" t="inlineStr">
        <is>
          <t>확인필요</t>
        </is>
      </c>
      <c r="M12" s="21" t="inlineStr">
        <is>
          <t>N</t>
        </is>
      </c>
      <c r="N12" s="24" t="inlineStr">
        <is>
          <t>높음</t>
        </is>
      </c>
      <c r="O12" s="25" t="inlineStr">
        <is>
          <t>씨앗(검증 전)</t>
        </is>
      </c>
      <c r="P12" s="22" t="inlineStr">
        <is>
          <t>https://www.youtube.com/results?search_query=%EC%9E%88%EC%A7%80%20Sneakers</t>
        </is>
      </c>
      <c r="Q12" s="22" t="inlineStr">
        <is>
          <t>https://music.youtube.com/search?q=%EC%9E%88%EC%A7%80%20Sneakers</t>
        </is>
      </c>
    </row>
    <row r="13" ht="15" customHeight="1" s="17">
      <c r="A13" s="21" t="inlineStr">
        <is>
          <t>S012</t>
        </is>
      </c>
      <c r="B13" s="22" t="inlineStr">
        <is>
          <t>Up!</t>
        </is>
      </c>
      <c r="C13" s="25" t="inlineStr">
        <is>
          <t>케플러</t>
        </is>
      </c>
      <c r="D13" s="23" t="inlineStr">
        <is>
          <t>2022</t>
        </is>
      </c>
      <c r="E13" s="24" t="inlineStr">
        <is>
          <t>상큼발랄</t>
        </is>
      </c>
      <c r="F13" s="25" t="inlineStr">
        <is>
          <t>바다</t>
        </is>
      </c>
      <c r="G13" s="24" t="inlineStr">
        <is>
          <t>여돌</t>
        </is>
      </c>
      <c r="H13" s="22" t="n"/>
      <c r="I13" s="22">
        <f>IF($H13="","","https://youtu.be/"&amp;$H13)</f>
        <v/>
      </c>
      <c r="J13" s="22">
        <f>IF($H13="","","https://music.youtube.com/watch?v="&amp;$H13)</f>
        <v/>
      </c>
      <c r="K13" s="22">
        <f>IF($H13="","","https://img.youtube.com/vi/"&amp;$H13&amp;"/hqdefault.jpg")</f>
        <v/>
      </c>
      <c r="L13" s="24" t="inlineStr">
        <is>
          <t>확인필요</t>
        </is>
      </c>
      <c r="M13" s="21" t="inlineStr">
        <is>
          <t>N</t>
        </is>
      </c>
      <c r="N13" s="24" t="inlineStr">
        <is>
          <t>높음</t>
        </is>
      </c>
      <c r="O13" s="25" t="inlineStr">
        <is>
          <t>씨앗(검증 전)</t>
        </is>
      </c>
      <c r="P13" s="22" t="inlineStr">
        <is>
          <t>https://www.youtube.com/results?search_query=%EC%BC%80%ED%94%8C%EB%9F%AC%20Up%21</t>
        </is>
      </c>
      <c r="Q13" s="22" t="inlineStr">
        <is>
          <t>https://music.youtube.com/search?q=%EC%BC%80%ED%94%8C%EB%9F%AC%20Up%21</t>
        </is>
      </c>
    </row>
    <row r="14" ht="15" customHeight="1" s="17">
      <c r="A14" s="21" t="inlineStr">
        <is>
          <t>S013</t>
        </is>
      </c>
      <c r="B14" s="22" t="inlineStr">
        <is>
          <t>ASAP</t>
        </is>
      </c>
      <c r="C14" s="22" t="inlineStr">
        <is>
          <t>STAYC</t>
        </is>
      </c>
      <c r="D14" s="23" t="inlineStr">
        <is>
          <t>2021</t>
        </is>
      </c>
      <c r="E14" s="24" t="inlineStr">
        <is>
          <t>상큼발랄</t>
        </is>
      </c>
      <c r="F14" s="25" t="inlineStr">
        <is>
          <t>바다</t>
        </is>
      </c>
      <c r="G14" s="24" t="inlineStr">
        <is>
          <t>여돌</t>
        </is>
      </c>
      <c r="H14" s="22" t="n"/>
      <c r="I14" s="22">
        <f>IF($H14="","","https://youtu.be/"&amp;$H14)</f>
        <v/>
      </c>
      <c r="J14" s="22">
        <f>IF($H14="","","https://music.youtube.com/watch?v="&amp;$H14)</f>
        <v/>
      </c>
      <c r="K14" s="22">
        <f>IF($H14="","","https://img.youtube.com/vi/"&amp;$H14&amp;"/hqdefault.jpg")</f>
        <v/>
      </c>
      <c r="L14" s="24" t="inlineStr">
        <is>
          <t>확인필요</t>
        </is>
      </c>
      <c r="M14" s="21" t="inlineStr">
        <is>
          <t>N</t>
        </is>
      </c>
      <c r="N14" s="24" t="inlineStr">
        <is>
          <t>높음</t>
        </is>
      </c>
      <c r="O14" s="25" t="inlineStr">
        <is>
          <t>씨앗(검증 전)</t>
        </is>
      </c>
      <c r="P14" s="22" t="inlineStr">
        <is>
          <t>https://www.youtube.com/results?search_query=STAYC%20ASAP</t>
        </is>
      </c>
      <c r="Q14" s="22" t="inlineStr">
        <is>
          <t>https://music.youtube.com/search?q=STAYC%20ASAP</t>
        </is>
      </c>
    </row>
    <row r="15" ht="15" customHeight="1" s="17">
      <c r="A15" s="21" t="inlineStr">
        <is>
          <t>S014</t>
        </is>
      </c>
      <c r="B15" s="22" t="inlineStr">
        <is>
          <t>After School</t>
        </is>
      </c>
      <c r="C15" s="25" t="inlineStr">
        <is>
          <t>위클리</t>
        </is>
      </c>
      <c r="D15" s="23" t="inlineStr">
        <is>
          <t>2021</t>
        </is>
      </c>
      <c r="E15" s="24" t="inlineStr">
        <is>
          <t>상큼발랄</t>
        </is>
      </c>
      <c r="F15" s="25" t="inlineStr">
        <is>
          <t>바다</t>
        </is>
      </c>
      <c r="G15" s="24" t="inlineStr">
        <is>
          <t>여돌</t>
        </is>
      </c>
      <c r="H15" s="22" t="n"/>
      <c r="I15" s="22">
        <f>IF($H15="","","https://youtu.be/"&amp;$H15)</f>
        <v/>
      </c>
      <c r="J15" s="22">
        <f>IF($H15="","","https://music.youtube.com/watch?v="&amp;$H15)</f>
        <v/>
      </c>
      <c r="K15" s="22">
        <f>IF($H15="","","https://img.youtube.com/vi/"&amp;$H15&amp;"/hqdefault.jpg")</f>
        <v/>
      </c>
      <c r="L15" s="24" t="inlineStr">
        <is>
          <t>확인필요</t>
        </is>
      </c>
      <c r="M15" s="21" t="inlineStr">
        <is>
          <t>N</t>
        </is>
      </c>
      <c r="N15" s="24" t="inlineStr">
        <is>
          <t>높음</t>
        </is>
      </c>
      <c r="O15" s="25" t="inlineStr">
        <is>
          <t>씨앗(검증 전)</t>
        </is>
      </c>
      <c r="P15" s="22" t="inlineStr">
        <is>
          <t>https://www.youtube.com/results?search_query=%EC%9C%84%ED%81%B4%EB%A6%AC%20After%20School</t>
        </is>
      </c>
      <c r="Q15" s="22" t="inlineStr">
        <is>
          <t>https://music.youtube.com/search?q=%EC%9C%84%ED%81%B4%EB%A6%AC%20After%20School</t>
        </is>
      </c>
    </row>
    <row r="16" ht="15" customHeight="1" s="17">
      <c r="A16" s="21" t="inlineStr">
        <is>
          <t>S015</t>
        </is>
      </c>
      <c r="B16" s="22" t="inlineStr">
        <is>
          <t>Talk &amp; Talk</t>
        </is>
      </c>
      <c r="C16" s="25" t="inlineStr">
        <is>
          <t>프로미스나인</t>
        </is>
      </c>
      <c r="D16" s="23" t="inlineStr">
        <is>
          <t>2021</t>
        </is>
      </c>
      <c r="E16" s="24" t="inlineStr">
        <is>
          <t>상큼발랄</t>
        </is>
      </c>
      <c r="F16" s="25" t="inlineStr">
        <is>
          <t>바다</t>
        </is>
      </c>
      <c r="G16" s="24" t="inlineStr">
        <is>
          <t>여돌</t>
        </is>
      </c>
      <c r="H16" s="22" t="n"/>
      <c r="I16" s="22">
        <f>IF($H16="","","https://youtu.be/"&amp;$H16)</f>
        <v/>
      </c>
      <c r="J16" s="22">
        <f>IF($H16="","","https://music.youtube.com/watch?v="&amp;$H16)</f>
        <v/>
      </c>
      <c r="K16" s="22">
        <f>IF($H16="","","https://img.youtube.com/vi/"&amp;$H16&amp;"/hqdefault.jpg")</f>
        <v/>
      </c>
      <c r="L16" s="24" t="inlineStr">
        <is>
          <t>확인필요</t>
        </is>
      </c>
      <c r="M16" s="21" t="inlineStr">
        <is>
          <t>N</t>
        </is>
      </c>
      <c r="N16" s="24" t="inlineStr">
        <is>
          <t>높음</t>
        </is>
      </c>
      <c r="O16" s="25" t="inlineStr">
        <is>
          <t>씨앗(검증 전)</t>
        </is>
      </c>
      <c r="P16" s="22" t="inlineStr">
        <is>
          <t>https://www.youtube.com/results?search_query=%ED%94%84%EB%A1%9C%EB%AF%B8%EC%8A%A4%EB%82%98%EC%9D%B8%20Talk%20%26%20Talk</t>
        </is>
      </c>
      <c r="Q16" s="22" t="inlineStr">
        <is>
          <t>https://music.youtube.com/search?q=%ED%94%84%EB%A1%9C%EB%AF%B8%EC%8A%A4%EB%82%98%EC%9D%B8%20Talk%20%26%20Talk</t>
        </is>
      </c>
    </row>
    <row r="17" ht="15" customHeight="1" s="17">
      <c r="A17" s="21" t="inlineStr">
        <is>
          <t>S016</t>
        </is>
      </c>
      <c r="B17" s="22" t="inlineStr">
        <is>
          <t>WE GO</t>
        </is>
      </c>
      <c r="C17" s="25" t="inlineStr">
        <is>
          <t>프로미스나인</t>
        </is>
      </c>
      <c r="D17" s="23" t="inlineStr">
        <is>
          <t>2021</t>
        </is>
      </c>
      <c r="E17" s="24" t="inlineStr">
        <is>
          <t>상큼발랄</t>
        </is>
      </c>
      <c r="F17" s="25" t="inlineStr">
        <is>
          <t>바다, 드라이브</t>
        </is>
      </c>
      <c r="G17" s="24" t="inlineStr">
        <is>
          <t>여돌</t>
        </is>
      </c>
      <c r="H17" s="22" t="n"/>
      <c r="I17" s="22">
        <f>IF($H17="","","https://youtu.be/"&amp;$H17)</f>
        <v/>
      </c>
      <c r="J17" s="22">
        <f>IF($H17="","","https://music.youtube.com/watch?v="&amp;$H17)</f>
        <v/>
      </c>
      <c r="K17" s="22">
        <f>IF($H17="","","https://img.youtube.com/vi/"&amp;$H17&amp;"/hqdefault.jpg")</f>
        <v/>
      </c>
      <c r="L17" s="24" t="inlineStr">
        <is>
          <t>확인필요</t>
        </is>
      </c>
      <c r="M17" s="21" t="inlineStr">
        <is>
          <t>N</t>
        </is>
      </c>
      <c r="N17" s="24" t="inlineStr">
        <is>
          <t>높음</t>
        </is>
      </c>
      <c r="O17" s="25" t="inlineStr">
        <is>
          <t>씨앗(검증 전)</t>
        </is>
      </c>
      <c r="P17" s="22" t="inlineStr">
        <is>
          <t>https://www.youtube.com/results?search_query=%ED%94%84%EB%A1%9C%EB%AF%B8%EC%8A%A4%EB%82%98%EC%9D%B8%20WE%20GO</t>
        </is>
      </c>
      <c r="Q17" s="22" t="inlineStr">
        <is>
          <t>https://music.youtube.com/search?q=%ED%94%84%EB%A1%9C%EB%AF%B8%EC%8A%A4%EB%82%98%EC%9D%B8%20WE%20GO</t>
        </is>
      </c>
    </row>
    <row r="18" ht="15" customHeight="1" s="17">
      <c r="A18" s="21" t="inlineStr">
        <is>
          <t>S017</t>
        </is>
      </c>
      <c r="B18" s="22" t="inlineStr">
        <is>
          <t>BUTTERFLY</t>
        </is>
      </c>
      <c r="C18" s="25" t="inlineStr">
        <is>
          <t>우주소녀</t>
        </is>
      </c>
      <c r="D18" s="23" t="inlineStr">
        <is>
          <t>2020</t>
        </is>
      </c>
      <c r="E18" s="24" t="inlineStr">
        <is>
          <t>상큼발랄</t>
        </is>
      </c>
      <c r="F18" s="25" t="inlineStr">
        <is>
          <t>바다</t>
        </is>
      </c>
      <c r="G18" s="24" t="inlineStr">
        <is>
          <t>여돌</t>
        </is>
      </c>
      <c r="H18" s="22" t="n"/>
      <c r="I18" s="22">
        <f>IF($H18="","","https://youtu.be/"&amp;$H18)</f>
        <v/>
      </c>
      <c r="J18" s="22">
        <f>IF($H18="","","https://music.youtube.com/watch?v="&amp;$H18)</f>
        <v/>
      </c>
      <c r="K18" s="22">
        <f>IF($H18="","","https://img.youtube.com/vi/"&amp;$H18&amp;"/hqdefault.jpg")</f>
        <v/>
      </c>
      <c r="L18" s="24" t="inlineStr">
        <is>
          <t>확인필요</t>
        </is>
      </c>
      <c r="M18" s="21" t="inlineStr">
        <is>
          <t>N</t>
        </is>
      </c>
      <c r="N18" s="24" t="inlineStr">
        <is>
          <t>높음</t>
        </is>
      </c>
      <c r="O18" s="25" t="inlineStr">
        <is>
          <t>씨앗(검증 전)</t>
        </is>
      </c>
      <c r="P18" s="22" t="inlineStr">
        <is>
          <t>https://www.youtube.com/results?search_query=%EC%9A%B0%EC%A3%BC%EC%86%8C%EB%85%80%20BUTTERFLY</t>
        </is>
      </c>
      <c r="Q18" s="22" t="inlineStr">
        <is>
          <t>https://music.youtube.com/search?q=%EC%9A%B0%EC%A3%BC%EC%86%8C%EB%85%80%20BUTTERFLY</t>
        </is>
      </c>
    </row>
    <row r="19" ht="15" customHeight="1" s="17">
      <c r="A19" s="21" t="inlineStr">
        <is>
          <t>S018</t>
        </is>
      </c>
      <c r="B19" s="22" t="inlineStr">
        <is>
          <t>Feel Good (Secret Code)</t>
        </is>
      </c>
      <c r="C19" s="25" t="inlineStr">
        <is>
          <t>프로미스나인</t>
        </is>
      </c>
      <c r="D19" s="23" t="inlineStr">
        <is>
          <t>2020</t>
        </is>
      </c>
      <c r="E19" s="24" t="inlineStr">
        <is>
          <t>상큼발랄</t>
        </is>
      </c>
      <c r="F19" s="25" t="inlineStr">
        <is>
          <t>바다</t>
        </is>
      </c>
      <c r="G19" s="24" t="inlineStr">
        <is>
          <t>여돌</t>
        </is>
      </c>
      <c r="H19" s="22" t="n"/>
      <c r="I19" s="22">
        <f>IF($H19="","","https://youtu.be/"&amp;$H19)</f>
        <v/>
      </c>
      <c r="J19" s="22">
        <f>IF($H19="","","https://music.youtube.com/watch?v="&amp;$H19)</f>
        <v/>
      </c>
      <c r="K19" s="22">
        <f>IF($H19="","","https://img.youtube.com/vi/"&amp;$H19&amp;"/hqdefault.jpg")</f>
        <v/>
      </c>
      <c r="L19" s="24" t="inlineStr">
        <is>
          <t>확인필요</t>
        </is>
      </c>
      <c r="M19" s="21" t="inlineStr">
        <is>
          <t>N</t>
        </is>
      </c>
      <c r="N19" s="24" t="inlineStr">
        <is>
          <t>높음</t>
        </is>
      </c>
      <c r="O19" s="25" t="inlineStr">
        <is>
          <t>씨앗(검증 전)</t>
        </is>
      </c>
      <c r="P19" s="22" t="inlineStr">
        <is>
          <t>https://www.youtube.com/results?search_query=%ED%94%84%EB%A1%9C%EB%AF%B8%EC%8A%A4%EB%82%98%EC%9D%B8%20Feel%20Good%20%28Secret%20Code%29</t>
        </is>
      </c>
      <c r="Q19" s="22" t="inlineStr">
        <is>
          <t>https://music.youtube.com/search?q=%ED%94%84%EB%A1%9C%EB%AF%B8%EC%8A%A4%EB%82%98%EC%9D%B8%20Feel%20Good%20%28Secret%20Code%29</t>
        </is>
      </c>
    </row>
    <row r="20" ht="15" customHeight="1" s="17">
      <c r="A20" s="21" t="inlineStr">
        <is>
          <t>S019</t>
        </is>
      </c>
      <c r="B20" s="22" t="inlineStr">
        <is>
          <t>Ice Cream</t>
        </is>
      </c>
      <c r="C20" s="25" t="inlineStr">
        <is>
          <t>블랙핑크</t>
        </is>
      </c>
      <c r="D20" s="23" t="inlineStr">
        <is>
          <t>2020</t>
        </is>
      </c>
      <c r="E20" s="24" t="inlineStr">
        <is>
          <t>상큼발랄</t>
        </is>
      </c>
      <c r="F20" s="25" t="inlineStr">
        <is>
          <t>바다</t>
        </is>
      </c>
      <c r="G20" s="24" t="inlineStr">
        <is>
          <t>여돌</t>
        </is>
      </c>
      <c r="H20" s="22" t="n"/>
      <c r="I20" s="22">
        <f>IF($H20="","","https://youtu.be/"&amp;$H20)</f>
        <v/>
      </c>
      <c r="J20" s="22">
        <f>IF($H20="","","https://music.youtube.com/watch?v="&amp;$H20)</f>
        <v/>
      </c>
      <c r="K20" s="22">
        <f>IF($H20="","","https://img.youtube.com/vi/"&amp;$H20&amp;"/hqdefault.jpg")</f>
        <v/>
      </c>
      <c r="L20" s="24" t="inlineStr">
        <is>
          <t>확인필요</t>
        </is>
      </c>
      <c r="M20" s="21" t="inlineStr">
        <is>
          <t>N</t>
        </is>
      </c>
      <c r="N20" s="24" t="inlineStr">
        <is>
          <t>높음</t>
        </is>
      </c>
      <c r="O20" s="25" t="inlineStr">
        <is>
          <t>씨앗(검증 전)</t>
        </is>
      </c>
      <c r="P20" s="22" t="inlineStr">
        <is>
          <t>https://www.youtube.com/results?search_query=%EB%B8%94%EB%9E%99%ED%95%91%ED%81%AC%20Ice%20Cream</t>
        </is>
      </c>
      <c r="Q20" s="22" t="inlineStr">
        <is>
          <t>https://music.youtube.com/search?q=%EB%B8%94%EB%9E%99%ED%95%91%ED%81%AC%20Ice%20Cream</t>
        </is>
      </c>
    </row>
    <row r="21" ht="15" customHeight="1" s="17">
      <c r="A21" s="21" t="inlineStr">
        <is>
          <t>S020</t>
        </is>
      </c>
      <c r="B21" s="22" t="inlineStr">
        <is>
          <t>So Bad</t>
        </is>
      </c>
      <c r="C21" s="22" t="inlineStr">
        <is>
          <t>STAYC</t>
        </is>
      </c>
      <c r="D21" s="23" t="inlineStr">
        <is>
          <t>2020</t>
        </is>
      </c>
      <c r="E21" s="24" t="inlineStr">
        <is>
          <t>상큼발랄</t>
        </is>
      </c>
      <c r="F21" s="25" t="inlineStr">
        <is>
          <t>바다</t>
        </is>
      </c>
      <c r="G21" s="24" t="inlineStr">
        <is>
          <t>여돌</t>
        </is>
      </c>
      <c r="H21" s="22" t="n"/>
      <c r="I21" s="22">
        <f>IF($H21="","","https://youtu.be/"&amp;$H21)</f>
        <v/>
      </c>
      <c r="J21" s="22">
        <f>IF($H21="","","https://music.youtube.com/watch?v="&amp;$H21)</f>
        <v/>
      </c>
      <c r="K21" s="22">
        <f>IF($H21="","","https://img.youtube.com/vi/"&amp;$H21&amp;"/hqdefault.jpg")</f>
        <v/>
      </c>
      <c r="L21" s="24" t="inlineStr">
        <is>
          <t>확인필요</t>
        </is>
      </c>
      <c r="M21" s="21" t="inlineStr">
        <is>
          <t>N</t>
        </is>
      </c>
      <c r="N21" s="24" t="inlineStr">
        <is>
          <t>높음</t>
        </is>
      </c>
      <c r="O21" s="25" t="inlineStr">
        <is>
          <t>씨앗(검증 전)</t>
        </is>
      </c>
      <c r="P21" s="22" t="inlineStr">
        <is>
          <t>https://www.youtube.com/results?search_query=STAYC%20So%20Bad</t>
        </is>
      </c>
      <c r="Q21" s="22" t="inlineStr">
        <is>
          <t>https://music.youtube.com/search?q=STAYC%20So%20Bad</t>
        </is>
      </c>
    </row>
    <row r="22" ht="15" customHeight="1" s="17">
      <c r="A22" s="21" t="inlineStr">
        <is>
          <t>S021</t>
        </is>
      </c>
      <c r="B22" s="25" t="inlineStr">
        <is>
          <t>살짝 설렜어 (Nonstop)</t>
        </is>
      </c>
      <c r="C22" s="25" t="inlineStr">
        <is>
          <t>오마이걸</t>
        </is>
      </c>
      <c r="D22" s="23" t="inlineStr">
        <is>
          <t>2020</t>
        </is>
      </c>
      <c r="E22" s="24" t="inlineStr">
        <is>
          <t>상큼발랄</t>
        </is>
      </c>
      <c r="F22" s="25" t="inlineStr">
        <is>
          <t>바다</t>
        </is>
      </c>
      <c r="G22" s="24" t="inlineStr">
        <is>
          <t>여돌</t>
        </is>
      </c>
      <c r="H22" s="22" t="n"/>
      <c r="I22" s="22">
        <f>IF($H22="","","https://youtu.be/"&amp;$H22)</f>
        <v/>
      </c>
      <c r="J22" s="22">
        <f>IF($H22="","","https://music.youtube.com/watch?v="&amp;$H22)</f>
        <v/>
      </c>
      <c r="K22" s="22">
        <f>IF($H22="","","https://img.youtube.com/vi/"&amp;$H22&amp;"/hqdefault.jpg")</f>
        <v/>
      </c>
      <c r="L22" s="24" t="inlineStr">
        <is>
          <t>확인필요</t>
        </is>
      </c>
      <c r="M22" s="21" t="inlineStr">
        <is>
          <t>N</t>
        </is>
      </c>
      <c r="N22" s="24" t="inlineStr">
        <is>
          <t>높음</t>
        </is>
      </c>
      <c r="O22" s="25" t="inlineStr">
        <is>
          <t>씨앗(검증 전)</t>
        </is>
      </c>
      <c r="P22" s="22" t="inlineStr">
        <is>
          <t>https://www.youtube.com/results?search_query=%EC%98%A4%EB%A7%88%EC%9D%B4%EA%B1%B8%20%EC%82%B4%EC%A7%9D%20%EC%84%A4%EB%A0%9C%EC%96%B4%20%28Nonstop%29</t>
        </is>
      </c>
      <c r="Q22" s="22" t="inlineStr">
        <is>
          <t>https://music.youtube.com/search?q=%EC%98%A4%EB%A7%88%EC%9D%B4%EA%B1%B8%20%EC%82%B4%EC%A7%9D%20%EC%84%A4%EB%A0%9C%EC%96%B4%20%28Nonstop%29</t>
        </is>
      </c>
    </row>
    <row r="23" ht="15" customHeight="1" s="17">
      <c r="A23" s="21" t="inlineStr">
        <is>
          <t>S022</t>
        </is>
      </c>
      <c r="B23" s="22" t="inlineStr">
        <is>
          <t>%% (응응)</t>
        </is>
      </c>
      <c r="C23" s="25" t="inlineStr">
        <is>
          <t>에이핑크</t>
        </is>
      </c>
      <c r="D23" s="23" t="inlineStr">
        <is>
          <t>2019</t>
        </is>
      </c>
      <c r="E23" s="24" t="inlineStr">
        <is>
          <t>상큼발랄</t>
        </is>
      </c>
      <c r="F23" s="25" t="inlineStr">
        <is>
          <t>바다</t>
        </is>
      </c>
      <c r="G23" s="24" t="inlineStr">
        <is>
          <t>여돌</t>
        </is>
      </c>
      <c r="H23" s="22" t="n"/>
      <c r="I23" s="22">
        <f>IF($H23="","","https://youtu.be/"&amp;$H23)</f>
        <v/>
      </c>
      <c r="J23" s="22">
        <f>IF($H23="","","https://music.youtube.com/watch?v="&amp;$H23)</f>
        <v/>
      </c>
      <c r="K23" s="22">
        <f>IF($H23="","","https://img.youtube.com/vi/"&amp;$H23&amp;"/hqdefault.jpg")</f>
        <v/>
      </c>
      <c r="L23" s="24" t="inlineStr">
        <is>
          <t>확인필요</t>
        </is>
      </c>
      <c r="M23" s="21" t="inlineStr">
        <is>
          <t>N</t>
        </is>
      </c>
      <c r="N23" s="24" t="inlineStr">
        <is>
          <t>높음</t>
        </is>
      </c>
      <c r="O23" s="25" t="inlineStr">
        <is>
          <t>씨앗(검증 전)</t>
        </is>
      </c>
      <c r="P23" s="22" t="inlineStr">
        <is>
          <t>https://www.youtube.com/results?search_query=%EC%97%90%EC%9D%B4%ED%95%91%ED%81%AC%20%25%25%20%28%EC%9D%91%EC%9D%91%29</t>
        </is>
      </c>
      <c r="Q23" s="22" t="inlineStr">
        <is>
          <t>https://music.youtube.com/search?q=%EC%97%90%EC%9D%B4%ED%95%91%ED%81%AC%20%25%25%20%28%EC%9D%91%EC%9D%91%29</t>
        </is>
      </c>
    </row>
    <row r="24" ht="15" customHeight="1" s="17">
      <c r="A24" s="21" t="inlineStr">
        <is>
          <t>S023</t>
        </is>
      </c>
      <c r="B24" s="22" t="inlineStr">
        <is>
          <t>DALLA DALLA (달라달라)</t>
        </is>
      </c>
      <c r="C24" s="25" t="inlineStr">
        <is>
          <t>있지</t>
        </is>
      </c>
      <c r="D24" s="23" t="inlineStr">
        <is>
          <t>2019</t>
        </is>
      </c>
      <c r="E24" s="24" t="inlineStr">
        <is>
          <t>상큼발랄</t>
        </is>
      </c>
      <c r="F24" s="25" t="inlineStr">
        <is>
          <t>바다</t>
        </is>
      </c>
      <c r="G24" s="24" t="inlineStr">
        <is>
          <t>여돌</t>
        </is>
      </c>
      <c r="H24" s="22" t="n"/>
      <c r="I24" s="22">
        <f>IF($H24="","","https://youtu.be/"&amp;$H24)</f>
        <v/>
      </c>
      <c r="J24" s="22">
        <f>IF($H24="","","https://music.youtube.com/watch?v="&amp;$H24)</f>
        <v/>
      </c>
      <c r="K24" s="22">
        <f>IF($H24="","","https://img.youtube.com/vi/"&amp;$H24&amp;"/hqdefault.jpg")</f>
        <v/>
      </c>
      <c r="L24" s="24" t="inlineStr">
        <is>
          <t>확인필요</t>
        </is>
      </c>
      <c r="M24" s="21" t="inlineStr">
        <is>
          <t>N</t>
        </is>
      </c>
      <c r="N24" s="24" t="inlineStr">
        <is>
          <t>높음</t>
        </is>
      </c>
      <c r="O24" s="25" t="inlineStr">
        <is>
          <t>씨앗(검증 전)</t>
        </is>
      </c>
      <c r="P24" s="22" t="inlineStr">
        <is>
          <t>https://www.youtube.com/results?search_query=%EC%9E%88%EC%A7%80%20DALLA%20DALLA%20%28%EB%8B%AC%EB%9D%BC%EB%8B%AC%EB%9D%BC%29</t>
        </is>
      </c>
      <c r="Q24" s="22" t="inlineStr">
        <is>
          <t>https://music.youtube.com/search?q=%EC%9E%88%EC%A7%80%20DALLA%20DALLA%20%28%EB%8B%AC%EB%9D%BC%EB%8B%AC%EB%9D%BC%29</t>
        </is>
      </c>
    </row>
    <row r="25" ht="15" customHeight="1" s="17">
      <c r="A25" s="21" t="inlineStr">
        <is>
          <t>S024</t>
        </is>
      </c>
      <c r="B25" s="25" t="inlineStr">
        <is>
          <t>짐살라빔 (Zimzalabim)</t>
        </is>
      </c>
      <c r="C25" s="25" t="inlineStr">
        <is>
          <t>레드벨벳</t>
        </is>
      </c>
      <c r="D25" s="23" t="inlineStr">
        <is>
          <t>2019</t>
        </is>
      </c>
      <c r="E25" s="24" t="inlineStr">
        <is>
          <t>상큼발랄</t>
        </is>
      </c>
      <c r="F25" s="25" t="inlineStr">
        <is>
          <t>바다</t>
        </is>
      </c>
      <c r="G25" s="24" t="inlineStr">
        <is>
          <t>여돌</t>
        </is>
      </c>
      <c r="H25" s="22" t="n"/>
      <c r="I25" s="22">
        <f>IF($H25="","","https://youtu.be/"&amp;$H25)</f>
        <v/>
      </c>
      <c r="J25" s="22">
        <f>IF($H25="","","https://music.youtube.com/watch?v="&amp;$H25)</f>
        <v/>
      </c>
      <c r="K25" s="22">
        <f>IF($H25="","","https://img.youtube.com/vi/"&amp;$H25&amp;"/hqdefault.jpg")</f>
        <v/>
      </c>
      <c r="L25" s="24" t="inlineStr">
        <is>
          <t>확인필요</t>
        </is>
      </c>
      <c r="M25" s="21" t="inlineStr">
        <is>
          <t>N</t>
        </is>
      </c>
      <c r="N25" s="24" t="inlineStr">
        <is>
          <t>높음</t>
        </is>
      </c>
      <c r="O25" s="25" t="inlineStr">
        <is>
          <t>씨앗(검증 전)</t>
        </is>
      </c>
      <c r="P25" s="22" t="inlineStr">
        <is>
          <t>https://www.youtube.com/results?search_query=%EB%A0%88%EB%93%9C%EB%B2%A8%EB%B2%B3%20%EC%A7%90%EC%82%B4%EB%9D%BC%EB%B9%94%20%28Zimzalabim%29</t>
        </is>
      </c>
      <c r="Q25" s="22" t="inlineStr">
        <is>
          <t>https://music.youtube.com/search?q=%EB%A0%88%EB%93%9C%EB%B2%A8%EB%B2%B3%20%EC%A7%90%EC%82%B4%EB%9D%BC%EB%B9%94%20%28Zimzalabim%29</t>
        </is>
      </c>
    </row>
    <row r="26" ht="15" customHeight="1" s="17">
      <c r="A26" s="21" t="inlineStr">
        <is>
          <t>S025</t>
        </is>
      </c>
      <c r="B26" s="22" t="inlineStr">
        <is>
          <t>Hi High</t>
        </is>
      </c>
      <c r="C26" s="25" t="inlineStr">
        <is>
          <t>이달의 소녀</t>
        </is>
      </c>
      <c r="D26" s="23" t="inlineStr">
        <is>
          <t>2018</t>
        </is>
      </c>
      <c r="E26" s="24" t="inlineStr">
        <is>
          <t>상큼발랄</t>
        </is>
      </c>
      <c r="F26" s="25" t="inlineStr">
        <is>
          <t>바다</t>
        </is>
      </c>
      <c r="G26" s="24" t="inlineStr">
        <is>
          <t>여돌</t>
        </is>
      </c>
      <c r="H26" s="22" t="n"/>
      <c r="I26" s="22">
        <f>IF($H26="","","https://youtu.be/"&amp;$H26)</f>
        <v/>
      </c>
      <c r="J26" s="22">
        <f>IF($H26="","","https://music.youtube.com/watch?v="&amp;$H26)</f>
        <v/>
      </c>
      <c r="K26" s="22">
        <f>IF($H26="","","https://img.youtube.com/vi/"&amp;$H26&amp;"/hqdefault.jpg")</f>
        <v/>
      </c>
      <c r="L26" s="24" t="inlineStr">
        <is>
          <t>확인필요</t>
        </is>
      </c>
      <c r="M26" s="21" t="inlineStr">
        <is>
          <t>N</t>
        </is>
      </c>
      <c r="N26" s="24" t="inlineStr">
        <is>
          <t>높음</t>
        </is>
      </c>
      <c r="O26" s="25" t="inlineStr">
        <is>
          <t>씨앗(검증 전)</t>
        </is>
      </c>
      <c r="P26" s="22" t="inlineStr">
        <is>
          <t>https://www.youtube.com/results?search_query=%EC%9D%B4%EB%8B%AC%EC%9D%98%20%EC%86%8C%EB%85%80%20Hi%20High</t>
        </is>
      </c>
      <c r="Q26" s="22" t="inlineStr">
        <is>
          <t>https://music.youtube.com/search?q=%EC%9D%B4%EB%8B%AC%EC%9D%98%20%EC%86%8C%EB%85%80%20Hi%20High</t>
        </is>
      </c>
    </row>
    <row r="27" ht="15" customHeight="1" s="17">
      <c r="A27" s="21" t="inlineStr">
        <is>
          <t>S026</t>
        </is>
      </c>
      <c r="B27" s="22" t="inlineStr">
        <is>
          <t>Power Up</t>
        </is>
      </c>
      <c r="C27" s="25" t="inlineStr">
        <is>
          <t>레드벨벳</t>
        </is>
      </c>
      <c r="D27" s="23" t="inlineStr">
        <is>
          <t>2018</t>
        </is>
      </c>
      <c r="E27" s="24" t="inlineStr">
        <is>
          <t>상큼발랄</t>
        </is>
      </c>
      <c r="F27" s="25" t="inlineStr">
        <is>
          <t>바다, 드라이브</t>
        </is>
      </c>
      <c r="G27" s="24" t="inlineStr">
        <is>
          <t>여돌</t>
        </is>
      </c>
      <c r="H27" s="22" t="n"/>
      <c r="I27" s="22">
        <f>IF($H27="","","https://youtu.be/"&amp;$H27)</f>
        <v/>
      </c>
      <c r="J27" s="22">
        <f>IF($H27="","","https://music.youtube.com/watch?v="&amp;$H27)</f>
        <v/>
      </c>
      <c r="K27" s="22">
        <f>IF($H27="","","https://img.youtube.com/vi/"&amp;$H27&amp;"/hqdefault.jpg")</f>
        <v/>
      </c>
      <c r="L27" s="24" t="inlineStr">
        <is>
          <t>확인필요</t>
        </is>
      </c>
      <c r="M27" s="21" t="inlineStr">
        <is>
          <t>N</t>
        </is>
      </c>
      <c r="N27" s="24" t="inlineStr">
        <is>
          <t>높음</t>
        </is>
      </c>
      <c r="O27" s="25" t="inlineStr">
        <is>
          <t>씨앗(검증 전)</t>
        </is>
      </c>
      <c r="P27" s="22" t="inlineStr">
        <is>
          <t>https://www.youtube.com/results?search_query=%EB%A0%88%EB%93%9C%EB%B2%A8%EB%B2%B3%20Power%20Up</t>
        </is>
      </c>
      <c r="Q27" s="22" t="inlineStr">
        <is>
          <t>https://music.youtube.com/search?q=%EB%A0%88%EB%93%9C%EB%B2%A8%EB%B2%B3%20Power%20Up</t>
        </is>
      </c>
    </row>
    <row r="28" ht="15" customHeight="1" s="17">
      <c r="A28" s="21" t="inlineStr">
        <is>
          <t>S027</t>
        </is>
      </c>
      <c r="B28" s="22" t="inlineStr">
        <is>
          <t>Yes I Am</t>
        </is>
      </c>
      <c r="C28" s="25" t="inlineStr">
        <is>
          <t>마마무</t>
        </is>
      </c>
      <c r="D28" s="23" t="inlineStr">
        <is>
          <t>2018</t>
        </is>
      </c>
      <c r="E28" s="24" t="inlineStr">
        <is>
          <t>상큼발랄</t>
        </is>
      </c>
      <c r="F28" s="25" t="inlineStr">
        <is>
          <t>바다</t>
        </is>
      </c>
      <c r="G28" s="24" t="inlineStr">
        <is>
          <t>여돌</t>
        </is>
      </c>
      <c r="H28" s="22" t="n"/>
      <c r="I28" s="22">
        <f>IF($H28="","","https://youtu.be/"&amp;$H28)</f>
        <v/>
      </c>
      <c r="J28" s="22">
        <f>IF($H28="","","https://music.youtube.com/watch?v="&amp;$H28)</f>
        <v/>
      </c>
      <c r="K28" s="22">
        <f>IF($H28="","","https://img.youtube.com/vi/"&amp;$H28&amp;"/hqdefault.jpg")</f>
        <v/>
      </c>
      <c r="L28" s="24" t="inlineStr">
        <is>
          <t>확인필요</t>
        </is>
      </c>
      <c r="M28" s="21" t="inlineStr">
        <is>
          <t>N</t>
        </is>
      </c>
      <c r="N28" s="24" t="inlineStr">
        <is>
          <t>높음</t>
        </is>
      </c>
      <c r="O28" s="25" t="inlineStr">
        <is>
          <t>씨앗(검증 전)</t>
        </is>
      </c>
      <c r="P28" s="22" t="inlineStr">
        <is>
          <t>https://www.youtube.com/results?search_query=%EB%A7%88%EB%A7%88%EB%AC%B4%20Yes%20I%20Am</t>
        </is>
      </c>
      <c r="Q28" s="22" t="inlineStr">
        <is>
          <t>https://music.youtube.com/search?q=%EB%A7%88%EB%A7%88%EB%AC%B4%20Yes%20I%20Am</t>
        </is>
      </c>
    </row>
    <row r="29" ht="15" customHeight="1" s="17">
      <c r="A29" s="21" t="inlineStr">
        <is>
          <t>S028</t>
        </is>
      </c>
      <c r="B29" s="25" t="inlineStr">
        <is>
          <t>뿜뿜 (BBoom BBoom)</t>
        </is>
      </c>
      <c r="C29" s="25" t="inlineStr">
        <is>
          <t>모모랜드</t>
        </is>
      </c>
      <c r="D29" s="23" t="inlineStr">
        <is>
          <t>2018</t>
        </is>
      </c>
      <c r="E29" s="24" t="inlineStr">
        <is>
          <t>상큼발랄</t>
        </is>
      </c>
      <c r="F29" s="25" t="inlineStr">
        <is>
          <t>바다, 드라이브</t>
        </is>
      </c>
      <c r="G29" s="24" t="inlineStr">
        <is>
          <t>여돌</t>
        </is>
      </c>
      <c r="H29" s="22" t="n"/>
      <c r="I29" s="22">
        <f>IF($H29="","","https://youtu.be/"&amp;$H29)</f>
        <v/>
      </c>
      <c r="J29" s="22">
        <f>IF($H29="","","https://music.youtube.com/watch?v="&amp;$H29)</f>
        <v/>
      </c>
      <c r="K29" s="22">
        <f>IF($H29="","","https://img.youtube.com/vi/"&amp;$H29&amp;"/hqdefault.jpg")</f>
        <v/>
      </c>
      <c r="L29" s="24" t="inlineStr">
        <is>
          <t>확인필요</t>
        </is>
      </c>
      <c r="M29" s="21" t="inlineStr">
        <is>
          <t>N</t>
        </is>
      </c>
      <c r="N29" s="24" t="inlineStr">
        <is>
          <t>높음</t>
        </is>
      </c>
      <c r="O29" s="25" t="inlineStr">
        <is>
          <t>씨앗(검증 전)</t>
        </is>
      </c>
      <c r="P29" s="22" t="inlineStr">
        <is>
          <t>https://www.youtube.com/results?search_query=%EB%AA%A8%EB%AA%A8%EB%9E%9C%EB%93%9C%20%EB%BF%9C%EB%BF%9C%20%28BBoom%20BBoom%29</t>
        </is>
      </c>
      <c r="Q29" s="22" t="inlineStr">
        <is>
          <t>https://music.youtube.com/search?q=%EB%AA%A8%EB%AA%A8%EB%9E%9C%EB%93%9C%20%EB%BF%9C%EB%BF%9C%20%28BBoom%20BBoom%29</t>
        </is>
      </c>
    </row>
    <row r="30" ht="15" customHeight="1" s="17">
      <c r="A30" s="21" t="inlineStr">
        <is>
          <t>S029</t>
        </is>
      </c>
      <c r="B30" s="22" t="inlineStr">
        <is>
          <t>FIVE</t>
        </is>
      </c>
      <c r="C30" s="25" t="inlineStr">
        <is>
          <t>에이핑크</t>
        </is>
      </c>
      <c r="D30" s="23" t="inlineStr">
        <is>
          <t>2017</t>
        </is>
      </c>
      <c r="E30" s="24" t="inlineStr">
        <is>
          <t>상큼발랄</t>
        </is>
      </c>
      <c r="F30" s="25" t="inlineStr">
        <is>
          <t>바다</t>
        </is>
      </c>
      <c r="G30" s="24" t="inlineStr">
        <is>
          <t>여돌</t>
        </is>
      </c>
      <c r="H30" s="22" t="n"/>
      <c r="I30" s="22">
        <f>IF($H30="","","https://youtu.be/"&amp;$H30)</f>
        <v/>
      </c>
      <c r="J30" s="22">
        <f>IF($H30="","","https://music.youtube.com/watch?v="&amp;$H30)</f>
        <v/>
      </c>
      <c r="K30" s="22">
        <f>IF($H30="","","https://img.youtube.com/vi/"&amp;$H30&amp;"/hqdefault.jpg")</f>
        <v/>
      </c>
      <c r="L30" s="24" t="inlineStr">
        <is>
          <t>확인필요</t>
        </is>
      </c>
      <c r="M30" s="21" t="inlineStr">
        <is>
          <t>N</t>
        </is>
      </c>
      <c r="N30" s="24" t="inlineStr">
        <is>
          <t>높음</t>
        </is>
      </c>
      <c r="O30" s="25" t="inlineStr">
        <is>
          <t>씨앗(검증 전)</t>
        </is>
      </c>
      <c r="P30" s="22" t="inlineStr">
        <is>
          <t>https://www.youtube.com/results?search_query=%EC%97%90%EC%9D%B4%ED%95%91%ED%81%AC%20FIVE</t>
        </is>
      </c>
      <c r="Q30" s="22" t="inlineStr">
        <is>
          <t>https://music.youtube.com/search?q=%EC%97%90%EC%9D%B4%ED%95%91%ED%81%AC%20FIVE</t>
        </is>
      </c>
    </row>
    <row r="31" ht="15" customHeight="1" s="17">
      <c r="A31" s="21" t="inlineStr">
        <is>
          <t>S030</t>
        </is>
      </c>
      <c r="B31" s="22" t="inlineStr">
        <is>
          <t>Holiday</t>
        </is>
      </c>
      <c r="C31" s="25" t="inlineStr">
        <is>
          <t>소녀시대</t>
        </is>
      </c>
      <c r="D31" s="23" t="inlineStr">
        <is>
          <t>2017</t>
        </is>
      </c>
      <c r="E31" s="24" t="inlineStr">
        <is>
          <t>상큼발랄</t>
        </is>
      </c>
      <c r="F31" s="25" t="inlineStr">
        <is>
          <t>바다, 드라이브</t>
        </is>
      </c>
      <c r="G31" s="24" t="inlineStr">
        <is>
          <t>여돌</t>
        </is>
      </c>
      <c r="H31" s="22" t="n"/>
      <c r="I31" s="22">
        <f>IF($H31="","","https://youtu.be/"&amp;$H31)</f>
        <v/>
      </c>
      <c r="J31" s="22">
        <f>IF($H31="","","https://music.youtube.com/watch?v="&amp;$H31)</f>
        <v/>
      </c>
      <c r="K31" s="22">
        <f>IF($H31="","","https://img.youtube.com/vi/"&amp;$H31&amp;"/hqdefault.jpg")</f>
        <v/>
      </c>
      <c r="L31" s="24" t="inlineStr">
        <is>
          <t>확인필요</t>
        </is>
      </c>
      <c r="M31" s="21" t="inlineStr">
        <is>
          <t>N</t>
        </is>
      </c>
      <c r="N31" s="24" t="inlineStr">
        <is>
          <t>높음</t>
        </is>
      </c>
      <c r="O31" s="25" t="inlineStr">
        <is>
          <t>씨앗(검증 전)</t>
        </is>
      </c>
      <c r="P31" s="22" t="inlineStr">
        <is>
          <t>https://www.youtube.com/results?search_query=%EC%86%8C%EB%85%80%EC%8B%9C%EB%8C%80%20Holiday</t>
        </is>
      </c>
      <c r="Q31" s="22" t="inlineStr">
        <is>
          <t>https://music.youtube.com/search?q=%EC%86%8C%EB%85%80%EC%8B%9C%EB%8C%80%20Holiday</t>
        </is>
      </c>
    </row>
    <row r="32" ht="15" customHeight="1" s="17">
      <c r="A32" s="21" t="inlineStr">
        <is>
          <t>S031</t>
        </is>
      </c>
      <c r="B32" s="22" t="inlineStr">
        <is>
          <t>LIKEY</t>
        </is>
      </c>
      <c r="C32" s="25" t="inlineStr">
        <is>
          <t>트와이스</t>
        </is>
      </c>
      <c r="D32" s="23" t="inlineStr">
        <is>
          <t>2017</t>
        </is>
      </c>
      <c r="E32" s="24" t="inlineStr">
        <is>
          <t>상큼발랄</t>
        </is>
      </c>
      <c r="F32" s="25" t="inlineStr">
        <is>
          <t>바다, 드라이브</t>
        </is>
      </c>
      <c r="G32" s="24" t="inlineStr">
        <is>
          <t>여돌</t>
        </is>
      </c>
      <c r="H32" s="22" t="n"/>
      <c r="I32" s="22">
        <f>IF($H32="","","https://youtu.be/"&amp;$H32)</f>
        <v/>
      </c>
      <c r="J32" s="22">
        <f>IF($H32="","","https://music.youtube.com/watch?v="&amp;$H32)</f>
        <v/>
      </c>
      <c r="K32" s="22">
        <f>IF($H32="","","https://img.youtube.com/vi/"&amp;$H32&amp;"/hqdefault.jpg")</f>
        <v/>
      </c>
      <c r="L32" s="24" t="inlineStr">
        <is>
          <t>확인필요</t>
        </is>
      </c>
      <c r="M32" s="21" t="inlineStr">
        <is>
          <t>N</t>
        </is>
      </c>
      <c r="N32" s="24" t="inlineStr">
        <is>
          <t>높음</t>
        </is>
      </c>
      <c r="O32" s="25" t="inlineStr">
        <is>
          <t>씨앗(검증 전)</t>
        </is>
      </c>
      <c r="P32" s="22" t="inlineStr">
        <is>
          <t>https://www.youtube.com/results?search_query=%ED%8A%B8%EC%99%80%EC%9D%B4%EC%8A%A4%20LIKEY</t>
        </is>
      </c>
      <c r="Q32" s="22" t="inlineStr">
        <is>
          <t>https://music.youtube.com/search?q=%ED%8A%B8%EC%99%80%EC%9D%B4%EC%8A%A4%20LIKEY</t>
        </is>
      </c>
    </row>
    <row r="33" ht="15" customHeight="1" s="17">
      <c r="A33" s="21" t="inlineStr">
        <is>
          <t>S032</t>
        </is>
      </c>
      <c r="B33" s="22" t="inlineStr">
        <is>
          <t>La La Love</t>
        </is>
      </c>
      <c r="C33" s="25" t="inlineStr">
        <is>
          <t>우주소녀</t>
        </is>
      </c>
      <c r="D33" s="23" t="inlineStr">
        <is>
          <t>2017</t>
        </is>
      </c>
      <c r="E33" s="24" t="inlineStr">
        <is>
          <t>상큼발랄</t>
        </is>
      </c>
      <c r="F33" s="25" t="inlineStr">
        <is>
          <t>바다, 드라이브</t>
        </is>
      </c>
      <c r="G33" s="24" t="inlineStr">
        <is>
          <t>여돌</t>
        </is>
      </c>
      <c r="H33" s="22" t="n"/>
      <c r="I33" s="22">
        <f>IF($H33="","","https://youtu.be/"&amp;$H33)</f>
        <v/>
      </c>
      <c r="J33" s="22">
        <f>IF($H33="","","https://music.youtube.com/watch?v="&amp;$H33)</f>
        <v/>
      </c>
      <c r="K33" s="22">
        <f>IF($H33="","","https://img.youtube.com/vi/"&amp;$H33&amp;"/hqdefault.jpg")</f>
        <v/>
      </c>
      <c r="L33" s="24" t="inlineStr">
        <is>
          <t>확인필요</t>
        </is>
      </c>
      <c r="M33" s="21" t="inlineStr">
        <is>
          <t>N</t>
        </is>
      </c>
      <c r="N33" s="24" t="inlineStr">
        <is>
          <t>높음</t>
        </is>
      </c>
      <c r="O33" s="25" t="inlineStr">
        <is>
          <t>씨앗(검증 전)</t>
        </is>
      </c>
      <c r="P33" s="22" t="inlineStr">
        <is>
          <t>https://www.youtube.com/results?search_query=%EC%9A%B0%EC%A3%BC%EC%86%8C%EB%85%80%20La%20La%20Love</t>
        </is>
      </c>
      <c r="Q33" s="22" t="inlineStr">
        <is>
          <t>https://music.youtube.com/search?q=%EC%9A%B0%EC%A3%BC%EC%86%8C%EB%85%80%20La%20La%20Love</t>
        </is>
      </c>
    </row>
    <row r="34" ht="15" customHeight="1" s="17">
      <c r="A34" s="21" t="inlineStr">
        <is>
          <t>S033</t>
        </is>
      </c>
      <c r="B34" s="22" t="inlineStr">
        <is>
          <t>SIGNAL</t>
        </is>
      </c>
      <c r="C34" s="25" t="inlineStr">
        <is>
          <t>트와이스</t>
        </is>
      </c>
      <c r="D34" s="23" t="inlineStr">
        <is>
          <t>2017</t>
        </is>
      </c>
      <c r="E34" s="24" t="inlineStr">
        <is>
          <t>상큼발랄</t>
        </is>
      </c>
      <c r="F34" s="25" t="inlineStr">
        <is>
          <t>바다</t>
        </is>
      </c>
      <c r="G34" s="24" t="inlineStr">
        <is>
          <t>여돌</t>
        </is>
      </c>
      <c r="H34" s="22" t="n"/>
      <c r="I34" s="22">
        <f>IF($H34="","","https://youtu.be/"&amp;$H34)</f>
        <v/>
      </c>
      <c r="J34" s="22">
        <f>IF($H34="","","https://music.youtube.com/watch?v="&amp;$H34)</f>
        <v/>
      </c>
      <c r="K34" s="22">
        <f>IF($H34="","","https://img.youtube.com/vi/"&amp;$H34&amp;"/hqdefault.jpg")</f>
        <v/>
      </c>
      <c r="L34" s="24" t="inlineStr">
        <is>
          <t>확인필요</t>
        </is>
      </c>
      <c r="M34" s="21" t="inlineStr">
        <is>
          <t>N</t>
        </is>
      </c>
      <c r="N34" s="24" t="inlineStr">
        <is>
          <t>높음</t>
        </is>
      </c>
      <c r="O34" s="25" t="inlineStr">
        <is>
          <t>씨앗(검증 전)</t>
        </is>
      </c>
      <c r="P34" s="22" t="inlineStr">
        <is>
          <t>https://www.youtube.com/results?search_query=%ED%8A%B8%EC%99%80%EC%9D%B4%EC%8A%A4%20SIGNAL</t>
        </is>
      </c>
      <c r="Q34" s="22" t="inlineStr">
        <is>
          <t>https://music.youtube.com/search?q=%ED%8A%B8%EC%99%80%EC%9D%B4%EC%8A%A4%20SIGNAL</t>
        </is>
      </c>
    </row>
    <row r="35" ht="15" customHeight="1" s="17">
      <c r="A35" s="21" t="inlineStr">
        <is>
          <t>S034</t>
        </is>
      </c>
      <c r="B35" s="22" t="inlineStr">
        <is>
          <t>Cheer Up</t>
        </is>
      </c>
      <c r="C35" s="25" t="inlineStr">
        <is>
          <t>트와이스</t>
        </is>
      </c>
      <c r="D35" s="23" t="inlineStr">
        <is>
          <t>2016</t>
        </is>
      </c>
      <c r="E35" s="24" t="inlineStr">
        <is>
          <t>상큼발랄</t>
        </is>
      </c>
      <c r="F35" s="25" t="inlineStr">
        <is>
          <t>바다</t>
        </is>
      </c>
      <c r="G35" s="24" t="inlineStr">
        <is>
          <t>여돌</t>
        </is>
      </c>
      <c r="H35" s="22" t="n"/>
      <c r="I35" s="22">
        <f>IF($H35="","","https://youtu.be/"&amp;$H35)</f>
        <v/>
      </c>
      <c r="J35" s="22">
        <f>IF($H35="","","https://music.youtube.com/watch?v="&amp;$H35)</f>
        <v/>
      </c>
      <c r="K35" s="22">
        <f>IF($H35="","","https://img.youtube.com/vi/"&amp;$H35&amp;"/hqdefault.jpg")</f>
        <v/>
      </c>
      <c r="L35" s="24" t="inlineStr">
        <is>
          <t>확인필요</t>
        </is>
      </c>
      <c r="M35" s="21" t="inlineStr">
        <is>
          <t>N</t>
        </is>
      </c>
      <c r="N35" s="24" t="inlineStr">
        <is>
          <t>높음</t>
        </is>
      </c>
      <c r="O35" s="25" t="inlineStr">
        <is>
          <t>씨앗(검증 전)</t>
        </is>
      </c>
      <c r="P35" s="22" t="inlineStr">
        <is>
          <t>https://www.youtube.com/results?search_query=%ED%8A%B8%EC%99%80%EC%9D%B4%EC%8A%A4%20Cheer%20Up</t>
        </is>
      </c>
      <c r="Q35" s="22" t="inlineStr">
        <is>
          <t>https://music.youtube.com/search?q=%ED%8A%B8%EC%99%80%EC%9D%B4%EC%8A%A4%20Cheer%20Up</t>
        </is>
      </c>
    </row>
    <row r="36" ht="15" customHeight="1" s="17">
      <c r="A36" s="21" t="inlineStr">
        <is>
          <t>S035</t>
        </is>
      </c>
      <c r="B36" s="22" t="inlineStr">
        <is>
          <t>TT</t>
        </is>
      </c>
      <c r="C36" s="25" t="inlineStr">
        <is>
          <t>트와이스</t>
        </is>
      </c>
      <c r="D36" s="23" t="inlineStr">
        <is>
          <t>2016</t>
        </is>
      </c>
      <c r="E36" s="24" t="inlineStr">
        <is>
          <t>상큼발랄</t>
        </is>
      </c>
      <c r="F36" s="25" t="inlineStr">
        <is>
          <t>바다</t>
        </is>
      </c>
      <c r="G36" s="24" t="inlineStr">
        <is>
          <t>여돌</t>
        </is>
      </c>
      <c r="H36" s="22" t="n"/>
      <c r="I36" s="22">
        <f>IF($H36="","","https://youtu.be/"&amp;$H36)</f>
        <v/>
      </c>
      <c r="J36" s="22">
        <f>IF($H36="","","https://music.youtube.com/watch?v="&amp;$H36)</f>
        <v/>
      </c>
      <c r="K36" s="22">
        <f>IF($H36="","","https://img.youtube.com/vi/"&amp;$H36&amp;"/hqdefault.jpg")</f>
        <v/>
      </c>
      <c r="L36" s="24" t="inlineStr">
        <is>
          <t>확인필요</t>
        </is>
      </c>
      <c r="M36" s="21" t="inlineStr">
        <is>
          <t>N</t>
        </is>
      </c>
      <c r="N36" s="24" t="inlineStr">
        <is>
          <t>높음</t>
        </is>
      </c>
      <c r="O36" s="25" t="inlineStr">
        <is>
          <t>씨앗(검증 전)</t>
        </is>
      </c>
      <c r="P36" s="22" t="inlineStr">
        <is>
          <t>https://www.youtube.com/results?search_query=%ED%8A%B8%EC%99%80%EC%9D%B4%EC%8A%A4%20TT</t>
        </is>
      </c>
      <c r="Q36" s="22" t="inlineStr">
        <is>
          <t>https://music.youtube.com/search?q=%ED%8A%B8%EC%99%80%EC%9D%B4%EC%8A%A4%20TT</t>
        </is>
      </c>
    </row>
    <row r="37" ht="15" customHeight="1" s="17">
      <c r="A37" s="21" t="inlineStr">
        <is>
          <t>S036</t>
        </is>
      </c>
      <c r="B37" s="25" t="inlineStr">
        <is>
          <t>음악의 신</t>
        </is>
      </c>
      <c r="C37" s="25" t="inlineStr">
        <is>
          <t>레드벨벳</t>
        </is>
      </c>
      <c r="D37" s="23" t="inlineStr">
        <is>
          <t>2016</t>
        </is>
      </c>
      <c r="E37" s="24" t="inlineStr">
        <is>
          <t>상큼발랄</t>
        </is>
      </c>
      <c r="F37" s="25" t="inlineStr">
        <is>
          <t>바다, 드라이브</t>
        </is>
      </c>
      <c r="G37" s="24" t="inlineStr">
        <is>
          <t>여돌</t>
        </is>
      </c>
      <c r="H37" s="22" t="n"/>
      <c r="I37" s="22">
        <f>IF($H37="","","https://youtu.be/"&amp;$H37)</f>
        <v/>
      </c>
      <c r="J37" s="22">
        <f>IF($H37="","","https://music.youtube.com/watch?v="&amp;$H37)</f>
        <v/>
      </c>
      <c r="K37" s="22">
        <f>IF($H37="","","https://img.youtube.com/vi/"&amp;$H37&amp;"/hqdefault.jpg")</f>
        <v/>
      </c>
      <c r="L37" s="24" t="inlineStr">
        <is>
          <t>확인필요</t>
        </is>
      </c>
      <c r="M37" s="21" t="inlineStr">
        <is>
          <t>N</t>
        </is>
      </c>
      <c r="N37" s="24" t="inlineStr">
        <is>
          <t>높음</t>
        </is>
      </c>
      <c r="O37" s="25" t="inlineStr">
        <is>
          <t>씨앗(검증 전)</t>
        </is>
      </c>
      <c r="P37" s="22" t="inlineStr">
        <is>
          <t>https://www.youtube.com/results?search_query=%EB%A0%88%EB%93%9C%EB%B2%A8%EB%B2%B3%20%EC%9D%8C%EC%95%85%EC%9D%98%20%EC%8B%A0</t>
        </is>
      </c>
      <c r="Q37" s="22" t="inlineStr">
        <is>
          <t>https://music.youtube.com/search?q=%EB%A0%88%EB%93%9C%EB%B2%A8%EB%B2%B3%20%EC%9D%8C%EC%95%85%EC%9D%98%20%EC%8B%A0</t>
        </is>
      </c>
    </row>
    <row r="38" ht="15" customHeight="1" s="17">
      <c r="A38" s="21" t="inlineStr">
        <is>
          <t>S037</t>
        </is>
      </c>
      <c r="B38" s="22" t="inlineStr">
        <is>
          <t>Dumb Dumb</t>
        </is>
      </c>
      <c r="C38" s="25" t="inlineStr">
        <is>
          <t>레드벨벳</t>
        </is>
      </c>
      <c r="D38" s="23" t="inlineStr">
        <is>
          <t>2015</t>
        </is>
      </c>
      <c r="E38" s="24" t="inlineStr">
        <is>
          <t>상큼발랄</t>
        </is>
      </c>
      <c r="F38" s="25" t="inlineStr">
        <is>
          <t>바다</t>
        </is>
      </c>
      <c r="G38" s="24" t="inlineStr">
        <is>
          <t>여돌</t>
        </is>
      </c>
      <c r="H38" s="22" t="n"/>
      <c r="I38" s="22">
        <f>IF($H38="","","https://youtu.be/"&amp;$H38)</f>
        <v/>
      </c>
      <c r="J38" s="22">
        <f>IF($H38="","","https://music.youtube.com/watch?v="&amp;$H38)</f>
        <v/>
      </c>
      <c r="K38" s="22">
        <f>IF($H38="","","https://img.youtube.com/vi/"&amp;$H38&amp;"/hqdefault.jpg")</f>
        <v/>
      </c>
      <c r="L38" s="24" t="inlineStr">
        <is>
          <t>확인필요</t>
        </is>
      </c>
      <c r="M38" s="21" t="inlineStr">
        <is>
          <t>N</t>
        </is>
      </c>
      <c r="N38" s="24" t="inlineStr">
        <is>
          <t>높음</t>
        </is>
      </c>
      <c r="O38" s="25" t="inlineStr">
        <is>
          <t>씨앗(검증 전)</t>
        </is>
      </c>
      <c r="P38" s="22" t="inlineStr">
        <is>
          <t>https://www.youtube.com/results?search_query=%EB%A0%88%EB%93%9C%EB%B2%A8%EB%B2%B3%20Dumb%20Dumb</t>
        </is>
      </c>
      <c r="Q38" s="22" t="inlineStr">
        <is>
          <t>https://music.youtube.com/search?q=%EB%A0%88%EB%93%9C%EB%B2%A8%EB%B2%B3%20Dumb%20Dumb</t>
        </is>
      </c>
    </row>
    <row r="39" ht="15" customHeight="1" s="17">
      <c r="A39" s="21" t="inlineStr">
        <is>
          <t>S038</t>
        </is>
      </c>
      <c r="B39" s="22" t="inlineStr">
        <is>
          <t>I Feel You</t>
        </is>
      </c>
      <c r="C39" s="25" t="inlineStr">
        <is>
          <t>원더걸스</t>
        </is>
      </c>
      <c r="D39" s="23" t="inlineStr">
        <is>
          <t>2015</t>
        </is>
      </c>
      <c r="E39" s="24" t="inlineStr">
        <is>
          <t>상큼발랄</t>
        </is>
      </c>
      <c r="F39" s="25" t="inlineStr">
        <is>
          <t>바다, 드라이브</t>
        </is>
      </c>
      <c r="G39" s="24" t="inlineStr">
        <is>
          <t>여돌</t>
        </is>
      </c>
      <c r="H39" s="22" t="n"/>
      <c r="I39" s="22">
        <f>IF($H39="","","https://youtu.be/"&amp;$H39)</f>
        <v/>
      </c>
      <c r="J39" s="22">
        <f>IF($H39="","","https://music.youtube.com/watch?v="&amp;$H39)</f>
        <v/>
      </c>
      <c r="K39" s="22">
        <f>IF($H39="","","https://img.youtube.com/vi/"&amp;$H39&amp;"/hqdefault.jpg")</f>
        <v/>
      </c>
      <c r="L39" s="24" t="inlineStr">
        <is>
          <t>확인필요</t>
        </is>
      </c>
      <c r="M39" s="21" t="inlineStr">
        <is>
          <t>N</t>
        </is>
      </c>
      <c r="N39" s="24" t="inlineStr">
        <is>
          <t>높음</t>
        </is>
      </c>
      <c r="O39" s="25" t="inlineStr">
        <is>
          <t>씨앗(검증 전)</t>
        </is>
      </c>
      <c r="P39" s="22" t="inlineStr">
        <is>
          <t>https://www.youtube.com/results?search_query=%EC%9B%90%EB%8D%94%EA%B1%B8%EC%8A%A4%20I%20Feel%20You</t>
        </is>
      </c>
      <c r="Q39" s="22" t="inlineStr">
        <is>
          <t>https://music.youtube.com/search?q=%EC%9B%90%EB%8D%94%EA%B1%B8%EC%8A%A4%20I%20Feel%20You</t>
        </is>
      </c>
    </row>
    <row r="40" ht="15" customHeight="1" s="17">
      <c r="A40" s="21" t="inlineStr">
        <is>
          <t>S039</t>
        </is>
      </c>
      <c r="B40" s="22" t="inlineStr">
        <is>
          <t>Ice Cream Cake</t>
        </is>
      </c>
      <c r="C40" s="25" t="inlineStr">
        <is>
          <t>레드벨벳</t>
        </is>
      </c>
      <c r="D40" s="23" t="inlineStr">
        <is>
          <t>2015</t>
        </is>
      </c>
      <c r="E40" s="24" t="inlineStr">
        <is>
          <t>상큼발랄</t>
        </is>
      </c>
      <c r="F40" s="25" t="inlineStr">
        <is>
          <t>바다, 드라이브</t>
        </is>
      </c>
      <c r="G40" s="24" t="inlineStr">
        <is>
          <t>여돌</t>
        </is>
      </c>
      <c r="H40" s="22" t="n"/>
      <c r="I40" s="22">
        <f>IF($H40="","","https://youtu.be/"&amp;$H40)</f>
        <v/>
      </c>
      <c r="J40" s="22">
        <f>IF($H40="","","https://music.youtube.com/watch?v="&amp;$H40)</f>
        <v/>
      </c>
      <c r="K40" s="22">
        <f>IF($H40="","","https://img.youtube.com/vi/"&amp;$H40&amp;"/hqdefault.jpg")</f>
        <v/>
      </c>
      <c r="L40" s="24" t="inlineStr">
        <is>
          <t>확인필요</t>
        </is>
      </c>
      <c r="M40" s="21" t="inlineStr">
        <is>
          <t>N</t>
        </is>
      </c>
      <c r="N40" s="24" t="inlineStr">
        <is>
          <t>높음</t>
        </is>
      </c>
      <c r="O40" s="25" t="inlineStr">
        <is>
          <t>씨앗(검증 전)</t>
        </is>
      </c>
      <c r="P40" s="22" t="inlineStr">
        <is>
          <t>https://www.youtube.com/results?search_query=%EB%A0%88%EB%93%9C%EB%B2%A8%EB%B2%B3%20Ice%20Cream%20Cake</t>
        </is>
      </c>
      <c r="Q40" s="22" t="inlineStr">
        <is>
          <t>https://music.youtube.com/search?q=%EB%A0%88%EB%93%9C%EB%B2%A8%EB%B2%B3%20Ice%20Cream%20Cake</t>
        </is>
      </c>
    </row>
    <row r="41" ht="15" customHeight="1" s="17">
      <c r="A41" s="21" t="inlineStr">
        <is>
          <t>S040</t>
        </is>
      </c>
      <c r="B41" s="22" t="inlineStr">
        <is>
          <t>Lion Heart</t>
        </is>
      </c>
      <c r="C41" s="25" t="inlineStr">
        <is>
          <t>소녀시대</t>
        </is>
      </c>
      <c r="D41" s="23" t="inlineStr">
        <is>
          <t>2015</t>
        </is>
      </c>
      <c r="E41" s="24" t="inlineStr">
        <is>
          <t>상큼발랄</t>
        </is>
      </c>
      <c r="F41" s="25" t="inlineStr">
        <is>
          <t>바다</t>
        </is>
      </c>
      <c r="G41" s="24" t="inlineStr">
        <is>
          <t>여돌</t>
        </is>
      </c>
      <c r="H41" s="22" t="n"/>
      <c r="I41" s="22">
        <f>IF($H41="","","https://youtu.be/"&amp;$H41)</f>
        <v/>
      </c>
      <c r="J41" s="22">
        <f>IF($H41="","","https://music.youtube.com/watch?v="&amp;$H41)</f>
        <v/>
      </c>
      <c r="K41" s="22">
        <f>IF($H41="","","https://img.youtube.com/vi/"&amp;$H41&amp;"/hqdefault.jpg")</f>
        <v/>
      </c>
      <c r="L41" s="24" t="inlineStr">
        <is>
          <t>확인필요</t>
        </is>
      </c>
      <c r="M41" s="21" t="inlineStr">
        <is>
          <t>N</t>
        </is>
      </c>
      <c r="N41" s="24" t="inlineStr">
        <is>
          <t>높음</t>
        </is>
      </c>
      <c r="O41" s="25" t="inlineStr">
        <is>
          <t>씨앗(검증 전)</t>
        </is>
      </c>
      <c r="P41" s="22" t="inlineStr">
        <is>
          <t>https://www.youtube.com/results?search_query=%EC%86%8C%EB%85%80%EC%8B%9C%EB%8C%80%20Lion%20Heart</t>
        </is>
      </c>
      <c r="Q41" s="22" t="inlineStr">
        <is>
          <t>https://music.youtube.com/search?q=%EC%86%8C%EB%85%80%EC%8B%9C%EB%8C%80%20Lion%20Heart</t>
        </is>
      </c>
    </row>
    <row r="42" ht="15" customHeight="1" s="17">
      <c r="A42" s="21" t="inlineStr">
        <is>
          <t>S041</t>
        </is>
      </c>
      <c r="B42" s="22" t="inlineStr">
        <is>
          <t>Ring My Bell</t>
        </is>
      </c>
      <c r="C42" s="25" t="inlineStr">
        <is>
          <t>걸스데이</t>
        </is>
      </c>
      <c r="D42" s="23" t="inlineStr">
        <is>
          <t>2015</t>
        </is>
      </c>
      <c r="E42" s="24" t="inlineStr">
        <is>
          <t>상큼발랄</t>
        </is>
      </c>
      <c r="F42" s="25" t="inlineStr">
        <is>
          <t>바다</t>
        </is>
      </c>
      <c r="G42" s="24" t="inlineStr">
        <is>
          <t>여돌</t>
        </is>
      </c>
      <c r="H42" s="22" t="n"/>
      <c r="I42" s="22">
        <f>IF($H42="","","https://youtu.be/"&amp;$H42)</f>
        <v/>
      </c>
      <c r="J42" s="22">
        <f>IF($H42="","","https://music.youtube.com/watch?v="&amp;$H42)</f>
        <v/>
      </c>
      <c r="K42" s="22">
        <f>IF($H42="","","https://img.youtube.com/vi/"&amp;$H42&amp;"/hqdefault.jpg")</f>
        <v/>
      </c>
      <c r="L42" s="24" t="inlineStr">
        <is>
          <t>확인필요</t>
        </is>
      </c>
      <c r="M42" s="21" t="inlineStr">
        <is>
          <t>N</t>
        </is>
      </c>
      <c r="N42" s="24" t="inlineStr">
        <is>
          <t>높음</t>
        </is>
      </c>
      <c r="O42" s="25" t="inlineStr">
        <is>
          <t>씨앗(검증 전)</t>
        </is>
      </c>
      <c r="P42" s="22" t="inlineStr">
        <is>
          <t>https://www.youtube.com/results?search_query=%EA%B1%B8%EC%8A%A4%EB%8D%B0%EC%9D%B4%20Ring%20My%20Bell</t>
        </is>
      </c>
      <c r="Q42" s="22" t="inlineStr">
        <is>
          <t>https://music.youtube.com/search?q=%EA%B1%B8%EC%8A%A4%EB%8D%B0%EC%9D%B4%20Ring%20My%20Bell</t>
        </is>
      </c>
    </row>
    <row r="43" ht="15" customHeight="1" s="17">
      <c r="A43" s="21" t="inlineStr">
        <is>
          <t>S042</t>
        </is>
      </c>
      <c r="B43" s="22" t="inlineStr">
        <is>
          <t>SHAKE IT</t>
        </is>
      </c>
      <c r="C43" s="25" t="inlineStr">
        <is>
          <t>씨스타</t>
        </is>
      </c>
      <c r="D43" s="23" t="inlineStr">
        <is>
          <t>2015</t>
        </is>
      </c>
      <c r="E43" s="24" t="inlineStr">
        <is>
          <t>상큼발랄</t>
        </is>
      </c>
      <c r="F43" s="25" t="inlineStr">
        <is>
          <t>바다</t>
        </is>
      </c>
      <c r="G43" s="24" t="inlineStr">
        <is>
          <t>여돌</t>
        </is>
      </c>
      <c r="H43" s="22" t="n"/>
      <c r="I43" s="22">
        <f>IF($H43="","","https://youtu.be/"&amp;$H43)</f>
        <v/>
      </c>
      <c r="J43" s="22">
        <f>IF($H43="","","https://music.youtube.com/watch?v="&amp;$H43)</f>
        <v/>
      </c>
      <c r="K43" s="22">
        <f>IF($H43="","","https://img.youtube.com/vi/"&amp;$H43&amp;"/hqdefault.jpg")</f>
        <v/>
      </c>
      <c r="L43" s="24" t="inlineStr">
        <is>
          <t>확인필요</t>
        </is>
      </c>
      <c r="M43" s="21" t="inlineStr">
        <is>
          <t>N</t>
        </is>
      </c>
      <c r="N43" s="24" t="inlineStr">
        <is>
          <t>높음</t>
        </is>
      </c>
      <c r="O43" s="25" t="inlineStr">
        <is>
          <t>씨앗(검증 전)</t>
        </is>
      </c>
      <c r="P43" s="22" t="inlineStr">
        <is>
          <t>https://www.youtube.com/results?search_query=%EC%94%A8%EC%8A%A4%ED%83%80%20SHAKE%20IT</t>
        </is>
      </c>
      <c r="Q43" s="22" t="inlineStr">
        <is>
          <t>https://music.youtube.com/search?q=%EC%94%A8%EC%8A%A4%ED%83%80%20SHAKE%20IT</t>
        </is>
      </c>
    </row>
    <row r="44" ht="15" customHeight="1" s="17">
      <c r="A44" s="21" t="inlineStr">
        <is>
          <t>S043</t>
        </is>
      </c>
      <c r="B44" s="22" t="inlineStr">
        <is>
          <t>Um Oh Ah Yeh</t>
        </is>
      </c>
      <c r="C44" s="25" t="inlineStr">
        <is>
          <t>마마무</t>
        </is>
      </c>
      <c r="D44" s="23" t="inlineStr">
        <is>
          <t>2015</t>
        </is>
      </c>
      <c r="E44" s="24" t="inlineStr">
        <is>
          <t>상큼발랄</t>
        </is>
      </c>
      <c r="F44" s="25" t="inlineStr">
        <is>
          <t>바다, 드라이브</t>
        </is>
      </c>
      <c r="G44" s="24" t="inlineStr">
        <is>
          <t>여돌</t>
        </is>
      </c>
      <c r="H44" s="22" t="n"/>
      <c r="I44" s="22">
        <f>IF($H44="","","https://youtu.be/"&amp;$H44)</f>
        <v/>
      </c>
      <c r="J44" s="22">
        <f>IF($H44="","","https://music.youtube.com/watch?v="&amp;$H44)</f>
        <v/>
      </c>
      <c r="K44" s="22">
        <f>IF($H44="","","https://img.youtube.com/vi/"&amp;$H44&amp;"/hqdefault.jpg")</f>
        <v/>
      </c>
      <c r="L44" s="24" t="inlineStr">
        <is>
          <t>확인필요</t>
        </is>
      </c>
      <c r="M44" s="21" t="inlineStr">
        <is>
          <t>N</t>
        </is>
      </c>
      <c r="N44" s="24" t="inlineStr">
        <is>
          <t>높음</t>
        </is>
      </c>
      <c r="O44" s="25" t="inlineStr">
        <is>
          <t>씨앗(검증 전)</t>
        </is>
      </c>
      <c r="P44" s="22" t="inlineStr">
        <is>
          <t>https://www.youtube.com/results?search_query=%EB%A7%88%EB%A7%88%EB%AC%B4%20Um%20Oh%20Ah%20Yeh</t>
        </is>
      </c>
      <c r="Q44" s="22" t="inlineStr">
        <is>
          <t>https://music.youtube.com/search?q=%EB%A7%88%EB%A7%88%EB%AC%B4%20Um%20Oh%20Ah%20Yeh</t>
        </is>
      </c>
    </row>
    <row r="45" ht="15" customHeight="1" s="17">
      <c r="A45" s="21" t="inlineStr">
        <is>
          <t>S044</t>
        </is>
      </c>
      <c r="B45" s="25" t="inlineStr">
        <is>
          <t>어푸 (Ah-Choo)</t>
        </is>
      </c>
      <c r="C45" s="25" t="inlineStr">
        <is>
          <t>러블리즈</t>
        </is>
      </c>
      <c r="D45" s="23" t="inlineStr">
        <is>
          <t>2015</t>
        </is>
      </c>
      <c r="E45" s="24" t="inlineStr">
        <is>
          <t>상큼발랄</t>
        </is>
      </c>
      <c r="F45" s="25" t="inlineStr">
        <is>
          <t>바다</t>
        </is>
      </c>
      <c r="G45" s="24" t="inlineStr">
        <is>
          <t>여돌</t>
        </is>
      </c>
      <c r="H45" s="22" t="n"/>
      <c r="I45" s="22">
        <f>IF($H45="","","https://youtu.be/"&amp;$H45)</f>
        <v/>
      </c>
      <c r="J45" s="22">
        <f>IF($H45="","","https://music.youtube.com/watch?v="&amp;$H45)</f>
        <v/>
      </c>
      <c r="K45" s="22">
        <f>IF($H45="","","https://img.youtube.com/vi/"&amp;$H45&amp;"/hqdefault.jpg")</f>
        <v/>
      </c>
      <c r="L45" s="24" t="inlineStr">
        <is>
          <t>확인필요</t>
        </is>
      </c>
      <c r="M45" s="21" t="inlineStr">
        <is>
          <t>N</t>
        </is>
      </c>
      <c r="N45" s="24" t="inlineStr">
        <is>
          <t>높음</t>
        </is>
      </c>
      <c r="O45" s="25" t="inlineStr">
        <is>
          <t>씨앗(검증 전)</t>
        </is>
      </c>
      <c r="P45" s="22" t="inlineStr">
        <is>
          <t>https://www.youtube.com/results?search_query=%EB%9F%AC%EB%B8%94%EB%A6%AC%EC%A6%88%20%EC%96%B4%ED%91%B8%20%28Ah-Choo%29</t>
        </is>
      </c>
      <c r="Q45" s="22" t="inlineStr">
        <is>
          <t>https://music.youtube.com/search?q=%EB%9F%AC%EB%B8%94%EB%A6%AC%EC%A6%88%20%EC%96%B4%ED%91%B8%20%28Ah-Choo%29</t>
        </is>
      </c>
    </row>
    <row r="46" ht="15" customHeight="1" s="17">
      <c r="A46" s="21" t="inlineStr">
        <is>
          <t>S045</t>
        </is>
      </c>
      <c r="B46" s="22" t="inlineStr">
        <is>
          <t>Darling</t>
        </is>
      </c>
      <c r="C46" s="25" t="inlineStr">
        <is>
          <t>걸스데이</t>
        </is>
      </c>
      <c r="D46" s="23" t="inlineStr">
        <is>
          <t>2014</t>
        </is>
      </c>
      <c r="E46" s="24" t="inlineStr">
        <is>
          <t>상큼발랄</t>
        </is>
      </c>
      <c r="F46" s="25" t="inlineStr">
        <is>
          <t>바다</t>
        </is>
      </c>
      <c r="G46" s="24" t="inlineStr">
        <is>
          <t>여돌</t>
        </is>
      </c>
      <c r="H46" s="22" t="n"/>
      <c r="I46" s="22">
        <f>IF($H46="","","https://youtu.be/"&amp;$H46)</f>
        <v/>
      </c>
      <c r="J46" s="22">
        <f>IF($H46="","","https://music.youtube.com/watch?v="&amp;$H46)</f>
        <v/>
      </c>
      <c r="K46" s="22">
        <f>IF($H46="","","https://img.youtube.com/vi/"&amp;$H46&amp;"/hqdefault.jpg")</f>
        <v/>
      </c>
      <c r="L46" s="24" t="inlineStr">
        <is>
          <t>확인필요</t>
        </is>
      </c>
      <c r="M46" s="21" t="inlineStr">
        <is>
          <t>N</t>
        </is>
      </c>
      <c r="N46" s="24" t="inlineStr">
        <is>
          <t>높음</t>
        </is>
      </c>
      <c r="O46" s="25" t="inlineStr">
        <is>
          <t>씨앗(검증 전)</t>
        </is>
      </c>
      <c r="P46" s="22" t="inlineStr">
        <is>
          <t>https://www.youtube.com/results?search_query=%EA%B1%B8%EC%8A%A4%EB%8D%B0%EC%9D%B4%20Darling</t>
        </is>
      </c>
      <c r="Q46" s="22" t="inlineStr">
        <is>
          <t>https://music.youtube.com/search?q=%EA%B1%B8%EC%8A%A4%EB%8D%B0%EC%9D%B4%20Darling</t>
        </is>
      </c>
    </row>
    <row r="47" ht="15" customHeight="1" s="17">
      <c r="A47" s="21" t="inlineStr">
        <is>
          <t>S046</t>
        </is>
      </c>
      <c r="B47" s="22" t="inlineStr">
        <is>
          <t>Mamma Mia</t>
        </is>
      </c>
      <c r="C47" s="25" t="inlineStr">
        <is>
          <t>카라</t>
        </is>
      </c>
      <c r="D47" s="23" t="inlineStr">
        <is>
          <t>2014</t>
        </is>
      </c>
      <c r="E47" s="24" t="inlineStr">
        <is>
          <t>상큼발랄</t>
        </is>
      </c>
      <c r="F47" s="25" t="inlineStr">
        <is>
          <t>바다, 드라이브</t>
        </is>
      </c>
      <c r="G47" s="24" t="inlineStr">
        <is>
          <t>여돌</t>
        </is>
      </c>
      <c r="H47" s="22" t="n"/>
      <c r="I47" s="22">
        <f>IF($H47="","","https://youtu.be/"&amp;$H47)</f>
        <v/>
      </c>
      <c r="J47" s="22">
        <f>IF($H47="","","https://music.youtube.com/watch?v="&amp;$H47)</f>
        <v/>
      </c>
      <c r="K47" s="22">
        <f>IF($H47="","","https://img.youtube.com/vi/"&amp;$H47&amp;"/hqdefault.jpg")</f>
        <v/>
      </c>
      <c r="L47" s="24" t="inlineStr">
        <is>
          <t>확인필요</t>
        </is>
      </c>
      <c r="M47" s="21" t="inlineStr">
        <is>
          <t>N</t>
        </is>
      </c>
      <c r="N47" s="24" t="inlineStr">
        <is>
          <t>높음</t>
        </is>
      </c>
      <c r="O47" s="25" t="inlineStr">
        <is>
          <t>씨앗(검증 전)</t>
        </is>
      </c>
      <c r="P47" s="22" t="inlineStr">
        <is>
          <t>https://www.youtube.com/results?search_query=%EC%B9%B4%EB%9D%BC%20Mamma%20Mia</t>
        </is>
      </c>
      <c r="Q47" s="22" t="inlineStr">
        <is>
          <t>https://music.youtube.com/search?q=%EC%B9%B4%EB%9D%BC%20Mamma%20Mia</t>
        </is>
      </c>
    </row>
    <row r="48" ht="15" customHeight="1" s="17">
      <c r="A48" s="21" t="inlineStr">
        <is>
          <t>S047</t>
        </is>
      </c>
      <c r="B48" s="22" t="inlineStr">
        <is>
          <t>Mr.Chu</t>
        </is>
      </c>
      <c r="C48" s="25" t="inlineStr">
        <is>
          <t>에이핑크</t>
        </is>
      </c>
      <c r="D48" s="23" t="inlineStr">
        <is>
          <t>2014</t>
        </is>
      </c>
      <c r="E48" s="24" t="inlineStr">
        <is>
          <t>상큼발랄</t>
        </is>
      </c>
      <c r="F48" s="25" t="inlineStr">
        <is>
          <t>바다, 드라이브</t>
        </is>
      </c>
      <c r="G48" s="24" t="inlineStr">
        <is>
          <t>여돌</t>
        </is>
      </c>
      <c r="H48" s="22" t="n"/>
      <c r="I48" s="22">
        <f>IF($H48="","","https://youtu.be/"&amp;$H48)</f>
        <v/>
      </c>
      <c r="J48" s="22">
        <f>IF($H48="","","https://music.youtube.com/watch?v="&amp;$H48)</f>
        <v/>
      </c>
      <c r="K48" s="22">
        <f>IF($H48="","","https://img.youtube.com/vi/"&amp;$H48&amp;"/hqdefault.jpg")</f>
        <v/>
      </c>
      <c r="L48" s="24" t="inlineStr">
        <is>
          <t>확인필요</t>
        </is>
      </c>
      <c r="M48" s="21" t="inlineStr">
        <is>
          <t>N</t>
        </is>
      </c>
      <c r="N48" s="24" t="inlineStr">
        <is>
          <t>높음</t>
        </is>
      </c>
      <c r="O48" s="25" t="inlineStr">
        <is>
          <t>씨앗(검증 전)</t>
        </is>
      </c>
      <c r="P48" s="22" t="inlineStr">
        <is>
          <t>https://www.youtube.com/results?search_query=%EC%97%90%EC%9D%B4%ED%95%91%ED%81%AC%20Mr.Chu</t>
        </is>
      </c>
      <c r="Q48" s="22" t="inlineStr">
        <is>
          <t>https://music.youtube.com/search?q=%EC%97%90%EC%9D%B4%ED%95%91%ED%81%AC%20Mr.Chu</t>
        </is>
      </c>
    </row>
    <row r="49" ht="15" customHeight="1" s="17">
      <c r="A49" s="21" t="inlineStr">
        <is>
          <t>S048</t>
        </is>
      </c>
      <c r="B49" s="22" t="inlineStr">
        <is>
          <t>Electric Shock</t>
        </is>
      </c>
      <c r="C49" s="22" t="inlineStr">
        <is>
          <t>f(x)</t>
        </is>
      </c>
      <c r="D49" s="23" t="inlineStr">
        <is>
          <t>2012</t>
        </is>
      </c>
      <c r="E49" s="24" t="inlineStr">
        <is>
          <t>상큼발랄</t>
        </is>
      </c>
      <c r="F49" s="25" t="inlineStr">
        <is>
          <t>바다</t>
        </is>
      </c>
      <c r="G49" s="24" t="inlineStr">
        <is>
          <t>여돌</t>
        </is>
      </c>
      <c r="H49" s="22" t="n"/>
      <c r="I49" s="22">
        <f>IF($H49="","","https://youtu.be/"&amp;$H49)</f>
        <v/>
      </c>
      <c r="J49" s="22">
        <f>IF($H49="","","https://music.youtube.com/watch?v="&amp;$H49)</f>
        <v/>
      </c>
      <c r="K49" s="22">
        <f>IF($H49="","","https://img.youtube.com/vi/"&amp;$H49&amp;"/hqdefault.jpg")</f>
        <v/>
      </c>
      <c r="L49" s="24" t="inlineStr">
        <is>
          <t>확인필요</t>
        </is>
      </c>
      <c r="M49" s="21" t="inlineStr">
        <is>
          <t>N</t>
        </is>
      </c>
      <c r="N49" s="24" t="inlineStr">
        <is>
          <t>높음</t>
        </is>
      </c>
      <c r="O49" s="25" t="inlineStr">
        <is>
          <t>씨앗(검증 전)</t>
        </is>
      </c>
      <c r="P49" s="22" t="inlineStr">
        <is>
          <t>https://www.youtube.com/results?search_query=f%28x%29%20Electric%20Shock</t>
        </is>
      </c>
      <c r="Q49" s="22" t="inlineStr">
        <is>
          <t>https://music.youtube.com/search?q=f%28x%29%20Electric%20Shock</t>
        </is>
      </c>
    </row>
    <row r="50" ht="15" customHeight="1" s="17">
      <c r="A50" s="21" t="inlineStr">
        <is>
          <t>S049</t>
        </is>
      </c>
      <c r="B50" s="22" t="inlineStr">
        <is>
          <t>CRAZY</t>
        </is>
      </c>
      <c r="C50" s="25" t="inlineStr">
        <is>
          <t>르세라핌</t>
        </is>
      </c>
      <c r="D50" s="23" t="inlineStr">
        <is>
          <t>2024</t>
        </is>
      </c>
      <c r="E50" s="24" t="inlineStr">
        <is>
          <t>청량시원</t>
        </is>
      </c>
      <c r="F50" s="25" t="inlineStr">
        <is>
          <t>바다</t>
        </is>
      </c>
      <c r="G50" s="24" t="inlineStr">
        <is>
          <t>여돌</t>
        </is>
      </c>
      <c r="H50" s="22" t="n"/>
      <c r="I50" s="22">
        <f>IF($H55="","","https://youtu.be/"&amp;$H55)</f>
        <v/>
      </c>
      <c r="J50" s="22">
        <f>IF($H55="","","https://music.youtube.com/watch?v="&amp;$H55)</f>
        <v/>
      </c>
      <c r="K50" s="22">
        <f>IF($H55="","","https://img.youtube.com/vi/"&amp;$H55&amp;"/hqdefault.jpg")</f>
        <v/>
      </c>
      <c r="L50" s="24" t="inlineStr">
        <is>
          <t>확인필요</t>
        </is>
      </c>
      <c r="M50" s="21" t="inlineStr">
        <is>
          <t>N</t>
        </is>
      </c>
      <c r="N50" s="24" t="inlineStr">
        <is>
          <t>높음</t>
        </is>
      </c>
      <c r="O50" s="25" t="inlineStr">
        <is>
          <t>씨앗(검증 전)</t>
        </is>
      </c>
      <c r="P50" s="22" t="inlineStr">
        <is>
          <t>https://www.youtube.com/results?search_query=%EB%A5%B4%EC%84%B8%EB%9D%BC%ED%95%8C%20CRAZY</t>
        </is>
      </c>
      <c r="Q50" s="22" t="inlineStr">
        <is>
          <t>https://music.youtube.com/search?q=%EB%A5%B4%EC%84%B8%EB%9D%BC%ED%95%8C%20CRAZY</t>
        </is>
      </c>
    </row>
    <row r="51" ht="15" customHeight="1" s="17">
      <c r="A51" s="21" t="inlineStr">
        <is>
          <t>S050</t>
        </is>
      </c>
      <c r="B51" s="22" t="inlineStr">
        <is>
          <t>HEYA</t>
        </is>
      </c>
      <c r="C51" s="22" t="inlineStr">
        <is>
          <t>IVE</t>
        </is>
      </c>
      <c r="D51" s="23" t="inlineStr">
        <is>
          <t>2024</t>
        </is>
      </c>
      <c r="E51" s="24" t="inlineStr">
        <is>
          <t>청량시원</t>
        </is>
      </c>
      <c r="F51" s="25" t="inlineStr">
        <is>
          <t>바다, 드라이브</t>
        </is>
      </c>
      <c r="G51" s="24" t="inlineStr">
        <is>
          <t>여돌</t>
        </is>
      </c>
      <c r="H51" s="22" t="n"/>
      <c r="I51" s="22">
        <f>IF($H56="","","https://youtu.be/"&amp;$H56)</f>
        <v/>
      </c>
      <c r="J51" s="22">
        <f>IF($H56="","","https://music.youtube.com/watch?v="&amp;$H56)</f>
        <v/>
      </c>
      <c r="K51" s="22">
        <f>IF($H56="","","https://img.youtube.com/vi/"&amp;$H56&amp;"/hqdefault.jpg")</f>
        <v/>
      </c>
      <c r="L51" s="24" t="inlineStr">
        <is>
          <t>확인필요</t>
        </is>
      </c>
      <c r="M51" s="21" t="inlineStr">
        <is>
          <t>N</t>
        </is>
      </c>
      <c r="N51" s="24" t="inlineStr">
        <is>
          <t>높음</t>
        </is>
      </c>
      <c r="O51" s="25" t="inlineStr">
        <is>
          <t>씨앗(검증 전)</t>
        </is>
      </c>
      <c r="P51" s="22" t="inlineStr">
        <is>
          <t>https://www.youtube.com/results?search_query=IVE%20HEYA</t>
        </is>
      </c>
      <c r="Q51" s="22" t="inlineStr">
        <is>
          <t>https://music.youtube.com/search?q=IVE%20HEYA</t>
        </is>
      </c>
    </row>
    <row r="52" ht="15" customHeight="1" s="17">
      <c r="A52" s="21" t="inlineStr">
        <is>
          <t>S051</t>
        </is>
      </c>
      <c r="B52" s="22" t="inlineStr">
        <is>
          <t>Super Lady</t>
        </is>
      </c>
      <c r="C52" s="25" t="inlineStr">
        <is>
          <t>여자아이들</t>
        </is>
      </c>
      <c r="D52" s="23" t="inlineStr">
        <is>
          <t>2024</t>
        </is>
      </c>
      <c r="E52" s="24" t="inlineStr">
        <is>
          <t>청량시원</t>
        </is>
      </c>
      <c r="F52" s="25" t="inlineStr">
        <is>
          <t>바다, 드라이브</t>
        </is>
      </c>
      <c r="G52" s="24" t="inlineStr">
        <is>
          <t>여돌</t>
        </is>
      </c>
      <c r="H52" s="22" t="n"/>
      <c r="I52" s="22">
        <f>IF($H57="","","https://youtu.be/"&amp;$H57)</f>
        <v/>
      </c>
      <c r="J52" s="22">
        <f>IF($H57="","","https://music.youtube.com/watch?v="&amp;$H57)</f>
        <v/>
      </c>
      <c r="K52" s="22">
        <f>IF($H57="","","https://img.youtube.com/vi/"&amp;$H57&amp;"/hqdefault.jpg")</f>
        <v/>
      </c>
      <c r="L52" s="24" t="inlineStr">
        <is>
          <t>확인필요</t>
        </is>
      </c>
      <c r="M52" s="21" t="inlineStr">
        <is>
          <t>N</t>
        </is>
      </c>
      <c r="N52" s="24" t="inlineStr">
        <is>
          <t>높음</t>
        </is>
      </c>
      <c r="O52" s="25" t="inlineStr">
        <is>
          <t>씨앗(검증 전)</t>
        </is>
      </c>
      <c r="P52" s="22" t="inlineStr">
        <is>
          <t>https://www.youtube.com/results?search_query=%EC%97%AC%EC%9E%90%EC%95%84%EC%9D%B4%EB%93%A4%20Super%20Lady</t>
        </is>
      </c>
      <c r="Q52" s="22" t="inlineStr">
        <is>
          <t>https://music.youtube.com/search?q=%EC%97%AC%EC%9E%90%EC%95%84%EC%9D%B4%EB%93%A4%20Super%20Lady</t>
        </is>
      </c>
    </row>
    <row r="53" ht="15" customHeight="1" s="17">
      <c r="A53" s="21" t="inlineStr">
        <is>
          <t>S052</t>
        </is>
      </c>
      <c r="B53" s="22" t="inlineStr">
        <is>
          <t>Supernatural</t>
        </is>
      </c>
      <c r="C53" s="22" t="inlineStr">
        <is>
          <t>NewJeans</t>
        </is>
      </c>
      <c r="D53" s="23" t="inlineStr">
        <is>
          <t>2024</t>
        </is>
      </c>
      <c r="E53" s="24" t="inlineStr">
        <is>
          <t>청량시원</t>
        </is>
      </c>
      <c r="F53" s="25" t="inlineStr">
        <is>
          <t>드라이브</t>
        </is>
      </c>
      <c r="G53" s="24" t="inlineStr">
        <is>
          <t>여돌</t>
        </is>
      </c>
      <c r="H53" s="22" t="n"/>
      <c r="I53" s="22">
        <f>IF($H58="","","https://youtu.be/"&amp;$H58)</f>
        <v/>
      </c>
      <c r="J53" s="22">
        <f>IF($H58="","","https://music.youtube.com/watch?v="&amp;$H58)</f>
        <v/>
      </c>
      <c r="K53" s="22">
        <f>IF($H58="","","https://img.youtube.com/vi/"&amp;$H58&amp;"/hqdefault.jpg")</f>
        <v/>
      </c>
      <c r="L53" s="24" t="inlineStr">
        <is>
          <t>확인필요</t>
        </is>
      </c>
      <c r="M53" s="21" t="inlineStr">
        <is>
          <t>N</t>
        </is>
      </c>
      <c r="N53" s="24" t="inlineStr">
        <is>
          <t>높음</t>
        </is>
      </c>
      <c r="O53" s="25" t="inlineStr">
        <is>
          <t>씨앗(검증 전)</t>
        </is>
      </c>
      <c r="P53" s="22" t="inlineStr">
        <is>
          <t>https://www.youtube.com/results?search_query=NewJeans%20Supernatural</t>
        </is>
      </c>
      <c r="Q53" s="22" t="inlineStr">
        <is>
          <t>https://music.youtube.com/search?q=NewJeans%20Supernatural</t>
        </is>
      </c>
    </row>
    <row r="54" ht="15" customHeight="1" s="17">
      <c r="A54" s="21" t="inlineStr">
        <is>
          <t>S053</t>
        </is>
      </c>
      <c r="B54" s="22" t="inlineStr">
        <is>
          <t>Supernova</t>
        </is>
      </c>
      <c r="C54" s="22" t="inlineStr">
        <is>
          <t>aespa</t>
        </is>
      </c>
      <c r="D54" s="23" t="inlineStr">
        <is>
          <t>2024</t>
        </is>
      </c>
      <c r="E54" s="24" t="inlineStr">
        <is>
          <t>청량시원</t>
        </is>
      </c>
      <c r="F54" s="25" t="inlineStr">
        <is>
          <t>바다, 드라이브</t>
        </is>
      </c>
      <c r="G54" s="24" t="inlineStr">
        <is>
          <t>여돌</t>
        </is>
      </c>
      <c r="H54" s="22" t="n"/>
      <c r="I54" s="22">
        <f>IF($H59="","","https://youtu.be/"&amp;$H59)</f>
        <v/>
      </c>
      <c r="J54" s="22">
        <f>IF($H59="","","https://music.youtube.com/watch?v="&amp;$H59)</f>
        <v/>
      </c>
      <c r="K54" s="22">
        <f>IF($H59="","","https://img.youtube.com/vi/"&amp;$H59&amp;"/hqdefault.jpg")</f>
        <v/>
      </c>
      <c r="L54" s="24" t="inlineStr">
        <is>
          <t>확인필요</t>
        </is>
      </c>
      <c r="M54" s="21" t="inlineStr">
        <is>
          <t>N</t>
        </is>
      </c>
      <c r="N54" s="24" t="inlineStr">
        <is>
          <t>높음</t>
        </is>
      </c>
      <c r="O54" s="25" t="inlineStr">
        <is>
          <t>씨앗(검증 전)</t>
        </is>
      </c>
      <c r="P54" s="22" t="inlineStr">
        <is>
          <t>https://www.youtube.com/results?search_query=aespa%20Supernova</t>
        </is>
      </c>
      <c r="Q54" s="22" t="inlineStr">
        <is>
          <t>https://music.youtube.com/search?q=aespa%20Supernova</t>
        </is>
      </c>
    </row>
    <row r="55" ht="15" customHeight="1" s="17">
      <c r="A55" s="21" t="inlineStr">
        <is>
          <t>S054</t>
        </is>
      </c>
      <c r="B55" s="22" t="inlineStr">
        <is>
          <t>Whiplash</t>
        </is>
      </c>
      <c r="C55" s="22" t="inlineStr">
        <is>
          <t>aespa</t>
        </is>
      </c>
      <c r="D55" s="23" t="inlineStr">
        <is>
          <t>2024</t>
        </is>
      </c>
      <c r="E55" s="24" t="inlineStr">
        <is>
          <t>청량시원</t>
        </is>
      </c>
      <c r="F55" s="25" t="inlineStr">
        <is>
          <t>바다</t>
        </is>
      </c>
      <c r="G55" s="24" t="inlineStr">
        <is>
          <t>여돌</t>
        </is>
      </c>
      <c r="H55" s="22" t="n"/>
      <c r="I55" s="22">
        <f>IF($H60="","","https://youtu.be/"&amp;$H60)</f>
        <v/>
      </c>
      <c r="J55" s="22">
        <f>IF($H60="","","https://music.youtube.com/watch?v="&amp;$H60)</f>
        <v/>
      </c>
      <c r="K55" s="22">
        <f>IF($H60="","","https://img.youtube.com/vi/"&amp;$H60&amp;"/hqdefault.jpg")</f>
        <v/>
      </c>
      <c r="L55" s="24" t="inlineStr">
        <is>
          <t>확인필요</t>
        </is>
      </c>
      <c r="M55" s="21" t="inlineStr">
        <is>
          <t>N</t>
        </is>
      </c>
      <c r="N55" s="24" t="inlineStr">
        <is>
          <t>높음</t>
        </is>
      </c>
      <c r="O55" s="25" t="inlineStr">
        <is>
          <t>씨앗(검증 전)</t>
        </is>
      </c>
      <c r="P55" s="22" t="inlineStr">
        <is>
          <t>https://www.youtube.com/results?search_query=aespa%20Whiplash</t>
        </is>
      </c>
      <c r="Q55" s="22" t="inlineStr">
        <is>
          <t>https://music.youtube.com/search?q=aespa%20Whiplash</t>
        </is>
      </c>
    </row>
    <row r="56" ht="15" customHeight="1" s="17">
      <c r="A56" s="21" t="inlineStr">
        <is>
          <t>S055</t>
        </is>
      </c>
      <c r="B56" s="25" t="inlineStr">
        <is>
          <t>클락션 (Klaxon)</t>
        </is>
      </c>
      <c r="C56" s="25" t="inlineStr">
        <is>
          <t>여자아이들</t>
        </is>
      </c>
      <c r="D56" s="23" t="inlineStr">
        <is>
          <t>2024</t>
        </is>
      </c>
      <c r="E56" s="24" t="inlineStr">
        <is>
          <t>청량시원</t>
        </is>
      </c>
      <c r="F56" s="25" t="inlineStr">
        <is>
          <t>드라이브</t>
        </is>
      </c>
      <c r="G56" s="24" t="inlineStr">
        <is>
          <t>여돌</t>
        </is>
      </c>
      <c r="H56" s="22" t="n"/>
      <c r="I56" s="22">
        <f>IF($H61="","","https://youtu.be/"&amp;$H61)</f>
        <v/>
      </c>
      <c r="J56" s="22">
        <f>IF($H61="","","https://music.youtube.com/watch?v="&amp;$H61)</f>
        <v/>
      </c>
      <c r="K56" s="22">
        <f>IF($H61="","","https://img.youtube.com/vi/"&amp;$H61&amp;"/hqdefault.jpg")</f>
        <v/>
      </c>
      <c r="L56" s="24" t="inlineStr">
        <is>
          <t>확인필요</t>
        </is>
      </c>
      <c r="M56" s="21" t="inlineStr">
        <is>
          <t>N</t>
        </is>
      </c>
      <c r="N56" s="24" t="inlineStr">
        <is>
          <t>높음</t>
        </is>
      </c>
      <c r="O56" s="25" t="inlineStr">
        <is>
          <t>씨앗(검증 전)</t>
        </is>
      </c>
      <c r="P56" s="22" t="inlineStr">
        <is>
          <t>https://www.youtube.com/results?search_query=%EC%97%AC%EC%9E%90%EC%95%84%EC%9D%B4%EB%93%A4%20%ED%81%B4%EB%9D%BD%EC%85%98%20%28Klaxon%29</t>
        </is>
      </c>
      <c r="Q56" s="22" t="inlineStr">
        <is>
          <t>https://music.youtube.com/search?q=%EC%97%AC%EC%9E%90%EC%95%84%EC%9D%B4%EB%93%A4%20%ED%81%B4%EB%9D%BD%EC%85%98%20%28Klaxon%29</t>
        </is>
      </c>
    </row>
    <row r="57" ht="15" customHeight="1" s="17">
      <c r="A57" s="21" t="inlineStr">
        <is>
          <t>S056</t>
        </is>
      </c>
      <c r="B57" s="22" t="inlineStr">
        <is>
          <t>Baddie</t>
        </is>
      </c>
      <c r="C57" s="22" t="inlineStr">
        <is>
          <t>IVE</t>
        </is>
      </c>
      <c r="D57" s="23" t="inlineStr">
        <is>
          <t>2023</t>
        </is>
      </c>
      <c r="E57" s="24" t="inlineStr">
        <is>
          <t>청량시원</t>
        </is>
      </c>
      <c r="F57" s="25" t="inlineStr">
        <is>
          <t>드라이브</t>
        </is>
      </c>
      <c r="G57" s="24" t="inlineStr">
        <is>
          <t>여돌</t>
        </is>
      </c>
      <c r="H57" s="22" t="n"/>
      <c r="I57" s="22">
        <f>IF($H62="","","https://youtu.be/"&amp;$H62)</f>
        <v/>
      </c>
      <c r="J57" s="22">
        <f>IF($H62="","","https://music.youtube.com/watch?v="&amp;$H62)</f>
        <v/>
      </c>
      <c r="K57" s="22">
        <f>IF($H62="","","https://img.youtube.com/vi/"&amp;$H62&amp;"/hqdefault.jpg")</f>
        <v/>
      </c>
      <c r="L57" s="24" t="inlineStr">
        <is>
          <t>확인필요</t>
        </is>
      </c>
      <c r="M57" s="21" t="inlineStr">
        <is>
          <t>N</t>
        </is>
      </c>
      <c r="N57" s="24" t="inlineStr">
        <is>
          <t>높음</t>
        </is>
      </c>
      <c r="O57" s="25" t="inlineStr">
        <is>
          <t>씨앗(검증 전)</t>
        </is>
      </c>
      <c r="P57" s="22" t="inlineStr">
        <is>
          <t>https://www.youtube.com/results?search_query=IVE%20Baddie</t>
        </is>
      </c>
      <c r="Q57" s="22" t="inlineStr">
        <is>
          <t>https://music.youtube.com/search?q=IVE%20Baddie</t>
        </is>
      </c>
    </row>
    <row r="58" ht="15" customHeight="1" s="17">
      <c r="A58" s="21" t="inlineStr">
        <is>
          <t>S057</t>
        </is>
      </c>
      <c r="B58" s="22" t="inlineStr">
        <is>
          <t>Beautiful Monster</t>
        </is>
      </c>
      <c r="C58" s="22" t="inlineStr">
        <is>
          <t>STAYC</t>
        </is>
      </c>
      <c r="D58" s="23" t="inlineStr">
        <is>
          <t>2023</t>
        </is>
      </c>
      <c r="E58" s="24" t="inlineStr">
        <is>
          <t>청량시원</t>
        </is>
      </c>
      <c r="F58" s="25" t="inlineStr">
        <is>
          <t>바다</t>
        </is>
      </c>
      <c r="G58" s="24" t="inlineStr">
        <is>
          <t>여돌</t>
        </is>
      </c>
      <c r="H58" s="22" t="n"/>
      <c r="I58" s="22">
        <f>IF($H63="","","https://youtu.be/"&amp;$H63)</f>
        <v/>
      </c>
      <c r="J58" s="22">
        <f>IF($H63="","","https://music.youtube.com/watch?v="&amp;$H63)</f>
        <v/>
      </c>
      <c r="K58" s="22">
        <f>IF($H63="","","https://img.youtube.com/vi/"&amp;$H63&amp;"/hqdefault.jpg")</f>
        <v/>
      </c>
      <c r="L58" s="24" t="inlineStr">
        <is>
          <t>확인필요</t>
        </is>
      </c>
      <c r="M58" s="21" t="inlineStr">
        <is>
          <t>N</t>
        </is>
      </c>
      <c r="N58" s="24" t="inlineStr">
        <is>
          <t>높음</t>
        </is>
      </c>
      <c r="O58" s="25" t="inlineStr">
        <is>
          <t>씨앗(검증 전)</t>
        </is>
      </c>
      <c r="P58" s="22" t="inlineStr">
        <is>
          <t>https://www.youtube.com/results?search_query=STAYC%20Beautiful%20Monster</t>
        </is>
      </c>
      <c r="Q58" s="22" t="inlineStr">
        <is>
          <t>https://music.youtube.com/search?q=STAYC%20Beautiful%20Monster</t>
        </is>
      </c>
    </row>
    <row r="59" ht="15" customHeight="1" s="17">
      <c r="A59" s="21" t="inlineStr">
        <is>
          <t>S058</t>
        </is>
      </c>
      <c r="B59" s="22" t="inlineStr">
        <is>
          <t>Bubble</t>
        </is>
      </c>
      <c r="C59" s="22" t="inlineStr">
        <is>
          <t>STAYC</t>
        </is>
      </c>
      <c r="D59" s="23" t="inlineStr">
        <is>
          <t>2023</t>
        </is>
      </c>
      <c r="E59" s="24" t="inlineStr">
        <is>
          <t>청량시원</t>
        </is>
      </c>
      <c r="F59" s="25" t="inlineStr">
        <is>
          <t>바다, 드라이브</t>
        </is>
      </c>
      <c r="G59" s="24" t="inlineStr">
        <is>
          <t>여돌</t>
        </is>
      </c>
      <c r="H59" s="22" t="n"/>
      <c r="I59" s="22">
        <f>IF($H64="","","https://youtu.be/"&amp;$H64)</f>
        <v/>
      </c>
      <c r="J59" s="22">
        <f>IF($H64="","","https://music.youtube.com/watch?v="&amp;$H64)</f>
        <v/>
      </c>
      <c r="K59" s="22">
        <f>IF($H64="","","https://img.youtube.com/vi/"&amp;$H64&amp;"/hqdefault.jpg")</f>
        <v/>
      </c>
      <c r="L59" s="24" t="inlineStr">
        <is>
          <t>확인필요</t>
        </is>
      </c>
      <c r="M59" s="21" t="inlineStr">
        <is>
          <t>N</t>
        </is>
      </c>
      <c r="N59" s="24" t="inlineStr">
        <is>
          <t>높음</t>
        </is>
      </c>
      <c r="O59" s="25" t="inlineStr">
        <is>
          <t>씨앗(검증 전)</t>
        </is>
      </c>
      <c r="P59" s="22" t="inlineStr">
        <is>
          <t>https://www.youtube.com/results?search_query=STAYC%20Bubble</t>
        </is>
      </c>
      <c r="Q59" s="22" t="inlineStr">
        <is>
          <t>https://music.youtube.com/search?q=STAYC%20Bubble</t>
        </is>
      </c>
    </row>
    <row r="60" ht="15" customHeight="1" s="17">
      <c r="A60" s="21" t="inlineStr">
        <is>
          <t>S059</t>
        </is>
      </c>
      <c r="B60" s="22" t="inlineStr">
        <is>
          <t>Drama</t>
        </is>
      </c>
      <c r="C60" s="22" t="inlineStr">
        <is>
          <t>aespa</t>
        </is>
      </c>
      <c r="D60" s="23" t="inlineStr">
        <is>
          <t>2023</t>
        </is>
      </c>
      <c r="E60" s="24" t="inlineStr">
        <is>
          <t>청량시원</t>
        </is>
      </c>
      <c r="F60" s="25" t="inlineStr">
        <is>
          <t>드라이브</t>
        </is>
      </c>
      <c r="G60" s="24" t="inlineStr">
        <is>
          <t>여돌</t>
        </is>
      </c>
      <c r="H60" s="22" t="n"/>
      <c r="I60" s="22">
        <f>IF($H65="","","https://youtu.be/"&amp;$H65)</f>
        <v/>
      </c>
      <c r="J60" s="22">
        <f>IF($H65="","","https://music.youtube.com/watch?v="&amp;$H65)</f>
        <v/>
      </c>
      <c r="K60" s="22">
        <f>IF($H65="","","https://img.youtube.com/vi/"&amp;$H65&amp;"/hqdefault.jpg")</f>
        <v/>
      </c>
      <c r="L60" s="24" t="inlineStr">
        <is>
          <t>확인필요</t>
        </is>
      </c>
      <c r="M60" s="21" t="inlineStr">
        <is>
          <t>N</t>
        </is>
      </c>
      <c r="N60" s="24" t="inlineStr">
        <is>
          <t>높음</t>
        </is>
      </c>
      <c r="O60" s="25" t="inlineStr">
        <is>
          <t>씨앗(검증 전)</t>
        </is>
      </c>
      <c r="P60" s="22" t="inlineStr">
        <is>
          <t>https://www.youtube.com/results?search_query=aespa%20Drama</t>
        </is>
      </c>
      <c r="Q60" s="22" t="inlineStr">
        <is>
          <t>https://music.youtube.com/search?q=aespa%20Drama</t>
        </is>
      </c>
    </row>
    <row r="61" ht="15" customHeight="1" s="17">
      <c r="A61" s="21" t="inlineStr">
        <is>
          <t>S060</t>
        </is>
      </c>
      <c r="B61" s="22" t="inlineStr">
        <is>
          <t>ETA</t>
        </is>
      </c>
      <c r="C61" s="22" t="inlineStr">
        <is>
          <t>NewJeans</t>
        </is>
      </c>
      <c r="D61" s="23" t="inlineStr">
        <is>
          <t>2023</t>
        </is>
      </c>
      <c r="E61" s="24" t="inlineStr">
        <is>
          <t>청량시원</t>
        </is>
      </c>
      <c r="F61" s="25" t="inlineStr">
        <is>
          <t>바다</t>
        </is>
      </c>
      <c r="G61" s="24" t="inlineStr">
        <is>
          <t>여돌</t>
        </is>
      </c>
      <c r="H61" s="22" t="n"/>
      <c r="I61" s="22">
        <f>IF($H66="","","https://youtu.be/"&amp;$H66)</f>
        <v/>
      </c>
      <c r="J61" s="22">
        <f>IF($H66="","","https://music.youtube.com/watch?v="&amp;$H66)</f>
        <v/>
      </c>
      <c r="K61" s="22">
        <f>IF($H66="","","https://img.youtube.com/vi/"&amp;$H66&amp;"/hqdefault.jpg")</f>
        <v/>
      </c>
      <c r="L61" s="24" t="inlineStr">
        <is>
          <t>확인필요</t>
        </is>
      </c>
      <c r="M61" s="21" t="inlineStr">
        <is>
          <t>N</t>
        </is>
      </c>
      <c r="N61" s="24" t="inlineStr">
        <is>
          <t>높음</t>
        </is>
      </c>
      <c r="O61" s="25" t="inlineStr">
        <is>
          <t>씨앗(검증 전)</t>
        </is>
      </c>
      <c r="P61" s="22" t="inlineStr">
        <is>
          <t>https://www.youtube.com/results?search_query=NewJeans%20ETA</t>
        </is>
      </c>
      <c r="Q61" s="22" t="inlineStr">
        <is>
          <t>https://music.youtube.com/search?q=NewJeans%20ETA</t>
        </is>
      </c>
    </row>
    <row r="62" ht="15" customHeight="1" s="17">
      <c r="A62" s="21" t="inlineStr">
        <is>
          <t>S061</t>
        </is>
      </c>
      <c r="B62" s="22" t="inlineStr">
        <is>
          <t>Get Up</t>
        </is>
      </c>
      <c r="C62" s="22" t="inlineStr">
        <is>
          <t>NewJeans</t>
        </is>
      </c>
      <c r="D62" s="23" t="inlineStr">
        <is>
          <t>2023</t>
        </is>
      </c>
      <c r="E62" s="24" t="inlineStr">
        <is>
          <t>청량시원</t>
        </is>
      </c>
      <c r="F62" s="25" t="inlineStr">
        <is>
          <t>드라이브</t>
        </is>
      </c>
      <c r="G62" s="24" t="inlineStr">
        <is>
          <t>여돌</t>
        </is>
      </c>
      <c r="H62" s="22" t="n"/>
      <c r="I62" s="22">
        <f>IF($H67="","","https://youtu.be/"&amp;$H67)</f>
        <v/>
      </c>
      <c r="J62" s="22">
        <f>IF($H67="","","https://music.youtube.com/watch?v="&amp;$H67)</f>
        <v/>
      </c>
      <c r="K62" s="22">
        <f>IF($H67="","","https://img.youtube.com/vi/"&amp;$H67&amp;"/hqdefault.jpg")</f>
        <v/>
      </c>
      <c r="L62" s="24" t="inlineStr">
        <is>
          <t>확인필요</t>
        </is>
      </c>
      <c r="M62" s="21" t="inlineStr">
        <is>
          <t>N</t>
        </is>
      </c>
      <c r="N62" s="24" t="inlineStr">
        <is>
          <t>높음</t>
        </is>
      </c>
      <c r="O62" s="25" t="inlineStr">
        <is>
          <t>씨앗(검증 전)</t>
        </is>
      </c>
      <c r="P62" s="22" t="inlineStr">
        <is>
          <t>https://www.youtube.com/results?search_query=NewJeans%20Get%20Up</t>
        </is>
      </c>
      <c r="Q62" s="22" t="inlineStr">
        <is>
          <t>https://music.youtube.com/search?q=NewJeans%20Get%20Up</t>
        </is>
      </c>
    </row>
    <row r="63" ht="15" customHeight="1" s="17">
      <c r="A63" s="21" t="inlineStr">
        <is>
          <t>S062</t>
        </is>
      </c>
      <c r="B63" s="22" t="inlineStr">
        <is>
          <t>I AM</t>
        </is>
      </c>
      <c r="C63" s="22" t="inlineStr">
        <is>
          <t>IVE</t>
        </is>
      </c>
      <c r="D63" s="23" t="inlineStr">
        <is>
          <t>2023</t>
        </is>
      </c>
      <c r="E63" s="24" t="inlineStr">
        <is>
          <t>청량시원</t>
        </is>
      </c>
      <c r="F63" s="25" t="inlineStr">
        <is>
          <t>바다</t>
        </is>
      </c>
      <c r="G63" s="24" t="inlineStr">
        <is>
          <t>여돌</t>
        </is>
      </c>
      <c r="H63" s="22" t="n"/>
      <c r="I63" s="22">
        <f>IF($H68="","","https://youtu.be/"&amp;$H68)</f>
        <v/>
      </c>
      <c r="J63" s="22">
        <f>IF($H68="","","https://music.youtube.com/watch?v="&amp;$H68)</f>
        <v/>
      </c>
      <c r="K63" s="22">
        <f>IF($H68="","","https://img.youtube.com/vi/"&amp;$H68&amp;"/hqdefault.jpg")</f>
        <v/>
      </c>
      <c r="L63" s="24" t="inlineStr">
        <is>
          <t>확인필요</t>
        </is>
      </c>
      <c r="M63" s="21" t="inlineStr">
        <is>
          <t>N</t>
        </is>
      </c>
      <c r="N63" s="24" t="inlineStr">
        <is>
          <t>높음</t>
        </is>
      </c>
      <c r="O63" s="25" t="inlineStr">
        <is>
          <t>씨앗(검증 전)</t>
        </is>
      </c>
      <c r="P63" s="22" t="inlineStr">
        <is>
          <t>https://www.youtube.com/results?search_query=IVE%20I%20AM</t>
        </is>
      </c>
      <c r="Q63" s="22" t="inlineStr">
        <is>
          <t>https://music.youtube.com/search?q=IVE%20I%20AM</t>
        </is>
      </c>
    </row>
    <row r="64" ht="15" customHeight="1" s="17">
      <c r="A64" s="21" t="inlineStr">
        <is>
          <t>S063</t>
        </is>
      </c>
      <c r="B64" s="22" t="inlineStr">
        <is>
          <t>Spicy</t>
        </is>
      </c>
      <c r="C64" s="22" t="inlineStr">
        <is>
          <t>aespa</t>
        </is>
      </c>
      <c r="D64" s="23" t="inlineStr">
        <is>
          <t>2023</t>
        </is>
      </c>
      <c r="E64" s="24" t="inlineStr">
        <is>
          <t>청량시원</t>
        </is>
      </c>
      <c r="F64" s="25" t="inlineStr">
        <is>
          <t>드라이브</t>
        </is>
      </c>
      <c r="G64" s="24" t="inlineStr">
        <is>
          <t>여돌</t>
        </is>
      </c>
      <c r="H64" s="22" t="n"/>
      <c r="I64" s="22">
        <f>IF($H69="","","https://youtu.be/"&amp;$H69)</f>
        <v/>
      </c>
      <c r="J64" s="22">
        <f>IF($H69="","","https://music.youtube.com/watch?v="&amp;$H69)</f>
        <v/>
      </c>
      <c r="K64" s="22">
        <f>IF($H69="","","https://img.youtube.com/vi/"&amp;$H69&amp;"/hqdefault.jpg")</f>
        <v/>
      </c>
      <c r="L64" s="24" t="inlineStr">
        <is>
          <t>확인필요</t>
        </is>
      </c>
      <c r="M64" s="21" t="inlineStr">
        <is>
          <t>N</t>
        </is>
      </c>
      <c r="N64" s="24" t="inlineStr">
        <is>
          <t>높음</t>
        </is>
      </c>
      <c r="O64" s="25" t="inlineStr">
        <is>
          <t>씨앗(검증 전)</t>
        </is>
      </c>
      <c r="P64" s="22" t="inlineStr">
        <is>
          <t>https://www.youtube.com/results?search_query=aespa%20Spicy</t>
        </is>
      </c>
      <c r="Q64" s="22" t="inlineStr">
        <is>
          <t>https://music.youtube.com/search?q=aespa%20Spicy</t>
        </is>
      </c>
    </row>
    <row r="65" ht="15" customHeight="1" s="17">
      <c r="A65" s="21" t="inlineStr">
        <is>
          <t>S064</t>
        </is>
      </c>
      <c r="B65" s="22" t="inlineStr">
        <is>
          <t>Stay This Way</t>
        </is>
      </c>
      <c r="C65" s="25" t="inlineStr">
        <is>
          <t>프로미스나인</t>
        </is>
      </c>
      <c r="D65" s="23" t="inlineStr">
        <is>
          <t>2023</t>
        </is>
      </c>
      <c r="E65" s="24" t="inlineStr">
        <is>
          <t>청량시원</t>
        </is>
      </c>
      <c r="F65" s="25" t="inlineStr">
        <is>
          <t>바다</t>
        </is>
      </c>
      <c r="G65" s="24" t="inlineStr">
        <is>
          <t>여돌</t>
        </is>
      </c>
      <c r="H65" s="22" t="n"/>
      <c r="I65" s="22">
        <f>IF($H70="","","https://youtu.be/"&amp;$H70)</f>
        <v/>
      </c>
      <c r="J65" s="22">
        <f>IF($H70="","","https://music.youtube.com/watch?v="&amp;$H70)</f>
        <v/>
      </c>
      <c r="K65" s="22">
        <f>IF($H70="","","https://img.youtube.com/vi/"&amp;$H70&amp;"/hqdefault.jpg")</f>
        <v/>
      </c>
      <c r="L65" s="24" t="inlineStr">
        <is>
          <t>확인필요</t>
        </is>
      </c>
      <c r="M65" s="21" t="inlineStr">
        <is>
          <t>N</t>
        </is>
      </c>
      <c r="N65" s="24" t="inlineStr">
        <is>
          <t>높음</t>
        </is>
      </c>
      <c r="O65" s="25" t="inlineStr">
        <is>
          <t>씨앗(검증 전)</t>
        </is>
      </c>
      <c r="P65" s="22" t="inlineStr">
        <is>
          <t>https://www.youtube.com/results?search_query=%ED%94%84%EB%A1%9C%EB%AF%B8%EC%8A%A4%EB%82%98%EC%9D%B8%20Stay%20This%20Way</t>
        </is>
      </c>
      <c r="Q65" s="22" t="inlineStr">
        <is>
          <t>https://music.youtube.com/search?q=%ED%94%84%EB%A1%9C%EB%AF%B8%EC%8A%A4%EB%82%98%EC%9D%B8%20Stay%20This%20Way</t>
        </is>
      </c>
    </row>
    <row r="66" ht="15" customHeight="1" s="17">
      <c r="A66" s="21" t="inlineStr">
        <is>
          <t>S065</t>
        </is>
      </c>
      <c r="B66" s="22" t="inlineStr">
        <is>
          <t>UNFORGIVEN</t>
        </is>
      </c>
      <c r="C66" s="25" t="inlineStr">
        <is>
          <t>르세라핌</t>
        </is>
      </c>
      <c r="D66" s="23" t="inlineStr">
        <is>
          <t>2023</t>
        </is>
      </c>
      <c r="E66" s="24" t="inlineStr">
        <is>
          <t>청량시원</t>
        </is>
      </c>
      <c r="F66" s="25" t="inlineStr">
        <is>
          <t>드라이브</t>
        </is>
      </c>
      <c r="G66" s="24" t="inlineStr">
        <is>
          <t>여돌</t>
        </is>
      </c>
      <c r="H66" s="22" t="n"/>
      <c r="I66" s="22">
        <f>IF($H71="","","https://youtu.be/"&amp;$H71)</f>
        <v/>
      </c>
      <c r="J66" s="22">
        <f>IF($H71="","","https://music.youtube.com/watch?v="&amp;$H71)</f>
        <v/>
      </c>
      <c r="K66" s="22">
        <f>IF($H71="","","https://img.youtube.com/vi/"&amp;$H71&amp;"/hqdefault.jpg")</f>
        <v/>
      </c>
      <c r="L66" s="24" t="inlineStr">
        <is>
          <t>확인필요</t>
        </is>
      </c>
      <c r="M66" s="21" t="inlineStr">
        <is>
          <t>N</t>
        </is>
      </c>
      <c r="N66" s="24" t="inlineStr">
        <is>
          <t>높음</t>
        </is>
      </c>
      <c r="O66" s="25" t="inlineStr">
        <is>
          <t>씨앗(검증 전)</t>
        </is>
      </c>
      <c r="P66" s="22" t="inlineStr">
        <is>
          <t>https://www.youtube.com/results?search_query=%EB%A5%B4%EC%84%B8%EB%9D%BC%ED%95%8C%20UNFORGIVEN</t>
        </is>
      </c>
      <c r="Q66" s="22" t="inlineStr">
        <is>
          <t>https://music.youtube.com/search?q=%EB%A5%B4%EC%84%B8%EB%9D%BC%ED%95%8C%20UNFORGIVEN</t>
        </is>
      </c>
    </row>
    <row r="67" ht="15" customHeight="1" s="17">
      <c r="A67" s="21" t="inlineStr">
        <is>
          <t>S066</t>
        </is>
      </c>
      <c r="B67" s="25" t="inlineStr">
        <is>
          <t>여름이 들려 (Summer Comes)</t>
        </is>
      </c>
      <c r="C67" s="25" t="inlineStr">
        <is>
          <t>오마이걸</t>
        </is>
      </c>
      <c r="D67" s="23" t="inlineStr">
        <is>
          <t>2023</t>
        </is>
      </c>
      <c r="E67" s="24" t="inlineStr">
        <is>
          <t>청량시원</t>
        </is>
      </c>
      <c r="F67" s="25" t="inlineStr">
        <is>
          <t>드라이브</t>
        </is>
      </c>
      <c r="G67" s="24" t="inlineStr">
        <is>
          <t>여돌</t>
        </is>
      </c>
      <c r="H67" s="22" t="n"/>
      <c r="I67" s="22">
        <f>IF($H72="","","https://youtu.be/"&amp;$H72)</f>
        <v/>
      </c>
      <c r="J67" s="22">
        <f>IF($H72="","","https://music.youtube.com/watch?v="&amp;$H72)</f>
        <v/>
      </c>
      <c r="K67" s="22">
        <f>IF($H72="","","https://img.youtube.com/vi/"&amp;$H72&amp;"/hqdefault.jpg")</f>
        <v/>
      </c>
      <c r="L67" s="24" t="inlineStr">
        <is>
          <t>확인필요</t>
        </is>
      </c>
      <c r="M67" s="21" t="inlineStr">
        <is>
          <t>N</t>
        </is>
      </c>
      <c r="N67" s="24" t="inlineStr">
        <is>
          <t>높음</t>
        </is>
      </c>
      <c r="O67" s="25" t="inlineStr">
        <is>
          <t>씨앗(검증 전)</t>
        </is>
      </c>
      <c r="P67" s="22" t="inlineStr">
        <is>
          <t>https://www.youtube.com/results?search_query=%EC%98%A4%EB%A7%88%EC%9D%B4%EA%B1%B8%20%EC%97%AC%EB%A6%84%EC%9D%B4%20%EB%93%A4%EB%A0%A4%20%28Summer%20Comes%29</t>
        </is>
      </c>
      <c r="Q67" s="22" t="inlineStr">
        <is>
          <t>https://music.youtube.com/search?q=%EC%98%A4%EB%A7%88%EC%9D%B4%EA%B1%B8%20%EC%97%AC%EB%A6%84%EC%9D%B4%20%EB%93%A4%EB%A0%A4%20%28Summer%20Comes%29</t>
        </is>
      </c>
    </row>
    <row r="68" ht="15" customHeight="1" s="17">
      <c r="A68" s="21" t="inlineStr">
        <is>
          <t>S067</t>
        </is>
      </c>
      <c r="B68" s="22" t="inlineStr">
        <is>
          <t>ANTIFRAGILE</t>
        </is>
      </c>
      <c r="C68" s="25" t="inlineStr">
        <is>
          <t>르세라핌</t>
        </is>
      </c>
      <c r="D68" s="23" t="inlineStr">
        <is>
          <t>2022</t>
        </is>
      </c>
      <c r="E68" s="24" t="inlineStr">
        <is>
          <t>청량시원</t>
        </is>
      </c>
      <c r="F68" s="25" t="inlineStr">
        <is>
          <t>바다, 드라이브</t>
        </is>
      </c>
      <c r="G68" s="24" t="inlineStr">
        <is>
          <t>여돌</t>
        </is>
      </c>
      <c r="H68" s="22" t="n"/>
      <c r="I68" s="22">
        <f>IF($H73="","","https://youtu.be/"&amp;$H73)</f>
        <v/>
      </c>
      <c r="J68" s="22">
        <f>IF($H73="","","https://music.youtube.com/watch?v="&amp;$H73)</f>
        <v/>
      </c>
      <c r="K68" s="22">
        <f>IF($H73="","","https://img.youtube.com/vi/"&amp;$H73&amp;"/hqdefault.jpg")</f>
        <v/>
      </c>
      <c r="L68" s="24" t="inlineStr">
        <is>
          <t>확인필요</t>
        </is>
      </c>
      <c r="M68" s="21" t="inlineStr">
        <is>
          <t>N</t>
        </is>
      </c>
      <c r="N68" s="24" t="inlineStr">
        <is>
          <t>높음</t>
        </is>
      </c>
      <c r="O68" s="25" t="inlineStr">
        <is>
          <t>씨앗(검증 전)</t>
        </is>
      </c>
      <c r="P68" s="22" t="inlineStr">
        <is>
          <t>https://www.youtube.com/results?search_query=%EB%A5%B4%EC%84%B8%EB%9D%BC%ED%95%8C%20ANTIFRAGILE</t>
        </is>
      </c>
      <c r="Q68" s="22" t="inlineStr">
        <is>
          <t>https://music.youtube.com/search?q=%EB%A5%B4%EC%84%B8%EB%9D%BC%ED%95%8C%20ANTIFRAGILE</t>
        </is>
      </c>
    </row>
    <row r="69" ht="15" customHeight="1" s="17">
      <c r="A69" s="21" t="inlineStr">
        <is>
          <t>S068</t>
        </is>
      </c>
      <c r="B69" s="22" t="inlineStr">
        <is>
          <t>FEARLESS</t>
        </is>
      </c>
      <c r="C69" s="25" t="inlineStr">
        <is>
          <t>르세라핌</t>
        </is>
      </c>
      <c r="D69" s="23" t="inlineStr">
        <is>
          <t>2022</t>
        </is>
      </c>
      <c r="E69" s="24" t="inlineStr">
        <is>
          <t>청량시원</t>
        </is>
      </c>
      <c r="F69" s="25" t="inlineStr">
        <is>
          <t>바다</t>
        </is>
      </c>
      <c r="G69" s="24" t="inlineStr">
        <is>
          <t>여돌</t>
        </is>
      </c>
      <c r="H69" s="22" t="n"/>
      <c r="I69" s="22">
        <f>IF($H74="","","https://youtu.be/"&amp;$H74)</f>
        <v/>
      </c>
      <c r="J69" s="22">
        <f>IF($H74="","","https://music.youtube.com/watch?v="&amp;$H74)</f>
        <v/>
      </c>
      <c r="K69" s="22">
        <f>IF($H74="","","https://img.youtube.com/vi/"&amp;$H74&amp;"/hqdefault.jpg")</f>
        <v/>
      </c>
      <c r="L69" s="24" t="inlineStr">
        <is>
          <t>확인필요</t>
        </is>
      </c>
      <c r="M69" s="21" t="inlineStr">
        <is>
          <t>N</t>
        </is>
      </c>
      <c r="N69" s="24" t="inlineStr">
        <is>
          <t>높음</t>
        </is>
      </c>
      <c r="O69" s="25" t="inlineStr">
        <is>
          <t>씨앗(검증 전)</t>
        </is>
      </c>
      <c r="P69" s="22" t="inlineStr">
        <is>
          <t>https://www.youtube.com/results?search_query=%EB%A5%B4%EC%84%B8%EB%9D%BC%ED%95%8C%20FEARLESS</t>
        </is>
      </c>
      <c r="Q69" s="22" t="inlineStr">
        <is>
          <t>https://music.youtube.com/search?q=%EB%A5%B4%EC%84%B8%EB%9D%BC%ED%95%8C%20FEARLESS</t>
        </is>
      </c>
    </row>
    <row r="70" ht="15" customHeight="1" s="17">
      <c r="A70" s="21" t="inlineStr">
        <is>
          <t>S069</t>
        </is>
      </c>
      <c r="B70" s="22" t="inlineStr">
        <is>
          <t>FOREVER 1</t>
        </is>
      </c>
      <c r="C70" s="25" t="inlineStr">
        <is>
          <t>소녀시대</t>
        </is>
      </c>
      <c r="D70" s="23" t="inlineStr">
        <is>
          <t>2022</t>
        </is>
      </c>
      <c r="E70" s="24" t="inlineStr">
        <is>
          <t>청량시원</t>
        </is>
      </c>
      <c r="F70" s="25" t="inlineStr">
        <is>
          <t>바다</t>
        </is>
      </c>
      <c r="G70" s="24" t="inlineStr">
        <is>
          <t>여돌</t>
        </is>
      </c>
      <c r="H70" s="22" t="n"/>
      <c r="I70" s="22">
        <f>IF($H75="","","https://youtu.be/"&amp;$H75)</f>
        <v/>
      </c>
      <c r="J70" s="22">
        <f>IF($H75="","","https://music.youtube.com/watch?v="&amp;$H75)</f>
        <v/>
      </c>
      <c r="K70" s="22">
        <f>IF($H75="","","https://img.youtube.com/vi/"&amp;$H75&amp;"/hqdefault.jpg")</f>
        <v/>
      </c>
      <c r="L70" s="24" t="inlineStr">
        <is>
          <t>확인필요</t>
        </is>
      </c>
      <c r="M70" s="21" t="inlineStr">
        <is>
          <t>N</t>
        </is>
      </c>
      <c r="N70" s="24" t="inlineStr">
        <is>
          <t>높음</t>
        </is>
      </c>
      <c r="O70" s="25" t="inlineStr">
        <is>
          <t>씨앗(검증 전)</t>
        </is>
      </c>
      <c r="P70" s="22" t="inlineStr">
        <is>
          <t>https://www.youtube.com/results?search_query=%EC%86%8C%EB%85%80%EC%8B%9C%EB%8C%80%20FOREVER%201</t>
        </is>
      </c>
      <c r="Q70" s="22" t="inlineStr">
        <is>
          <t>https://music.youtube.com/search?q=%EC%86%8C%EB%85%80%EC%8B%9C%EB%8C%80%20FOREVER%201</t>
        </is>
      </c>
    </row>
    <row r="71" ht="15" customHeight="1" s="17">
      <c r="A71" s="21" t="inlineStr">
        <is>
          <t>S070</t>
        </is>
      </c>
      <c r="B71" s="22" t="inlineStr">
        <is>
          <t>Feel My Rhythm</t>
        </is>
      </c>
      <c r="C71" s="25" t="inlineStr">
        <is>
          <t>레드벨벳</t>
        </is>
      </c>
      <c r="D71" s="23" t="inlineStr">
        <is>
          <t>2022</t>
        </is>
      </c>
      <c r="E71" s="24" t="inlineStr">
        <is>
          <t>청량시원</t>
        </is>
      </c>
      <c r="F71" s="25" t="inlineStr">
        <is>
          <t>바다, 드라이브</t>
        </is>
      </c>
      <c r="G71" s="24" t="inlineStr">
        <is>
          <t>여돌</t>
        </is>
      </c>
      <c r="H71" s="22" t="n"/>
      <c r="I71" s="22">
        <f>IF($H76="","","https://youtu.be/"&amp;$H76)</f>
        <v/>
      </c>
      <c r="J71" s="22">
        <f>IF($H76="","","https://music.youtube.com/watch?v="&amp;$H76)</f>
        <v/>
      </c>
      <c r="K71" s="22">
        <f>IF($H76="","","https://img.youtube.com/vi/"&amp;$H76&amp;"/hqdefault.jpg")</f>
        <v/>
      </c>
      <c r="L71" s="24" t="inlineStr">
        <is>
          <t>확인필요</t>
        </is>
      </c>
      <c r="M71" s="21" t="inlineStr">
        <is>
          <t>N</t>
        </is>
      </c>
      <c r="N71" s="24" t="inlineStr">
        <is>
          <t>높음</t>
        </is>
      </c>
      <c r="O71" s="25" t="inlineStr">
        <is>
          <t>씨앗(검증 전)</t>
        </is>
      </c>
      <c r="P71" s="22" t="inlineStr">
        <is>
          <t>https://www.youtube.com/results?search_query=%EB%A0%88%EB%93%9C%EB%B2%A8%EB%B2%B3%20Feel%20My%20Rhythm</t>
        </is>
      </c>
      <c r="Q71" s="22" t="inlineStr">
        <is>
          <t>https://music.youtube.com/search?q=%EB%A0%88%EB%93%9C%EB%B2%A8%EB%B2%B3%20Feel%20My%20Rhythm</t>
        </is>
      </c>
    </row>
    <row r="72" ht="15" customHeight="1" s="17">
      <c r="A72" s="21" t="inlineStr">
        <is>
          <t>S071</t>
        </is>
      </c>
      <c r="B72" s="22" t="inlineStr">
        <is>
          <t>Girls</t>
        </is>
      </c>
      <c r="C72" s="22" t="inlineStr">
        <is>
          <t>aespa</t>
        </is>
      </c>
      <c r="D72" s="23" t="inlineStr">
        <is>
          <t>2022</t>
        </is>
      </c>
      <c r="E72" s="24" t="inlineStr">
        <is>
          <t>청량시원</t>
        </is>
      </c>
      <c r="F72" s="25" t="inlineStr">
        <is>
          <t>바다</t>
        </is>
      </c>
      <c r="G72" s="24" t="inlineStr">
        <is>
          <t>여돌</t>
        </is>
      </c>
      <c r="H72" s="22" t="n"/>
      <c r="I72" s="22">
        <f>IF($H77="","","https://youtu.be/"&amp;$H77)</f>
        <v/>
      </c>
      <c r="J72" s="22">
        <f>IF($H77="","","https://music.youtube.com/watch?v="&amp;$H77)</f>
        <v/>
      </c>
      <c r="K72" s="22">
        <f>IF($H77="","","https://img.youtube.com/vi/"&amp;$H77&amp;"/hqdefault.jpg")</f>
        <v/>
      </c>
      <c r="L72" s="24" t="inlineStr">
        <is>
          <t>확인필요</t>
        </is>
      </c>
      <c r="M72" s="21" t="inlineStr">
        <is>
          <t>N</t>
        </is>
      </c>
      <c r="N72" s="24" t="inlineStr">
        <is>
          <t>높음</t>
        </is>
      </c>
      <c r="O72" s="25" t="inlineStr">
        <is>
          <t>씨앗(검증 전)</t>
        </is>
      </c>
      <c r="P72" s="22" t="inlineStr">
        <is>
          <t>https://www.youtube.com/results?search_query=aespa%20Girls</t>
        </is>
      </c>
      <c r="Q72" s="22" t="inlineStr">
        <is>
          <t>https://music.youtube.com/search?q=aespa%20Girls</t>
        </is>
      </c>
    </row>
    <row r="73" ht="15" customHeight="1" s="17">
      <c r="A73" s="21" t="inlineStr">
        <is>
          <t>S072</t>
        </is>
      </c>
      <c r="B73" s="22" t="inlineStr">
        <is>
          <t>Pool Party</t>
        </is>
      </c>
      <c r="C73" s="25" t="inlineStr">
        <is>
          <t>브레이브걸스</t>
        </is>
      </c>
      <c r="D73" s="23" t="inlineStr">
        <is>
          <t>2022</t>
        </is>
      </c>
      <c r="E73" s="24" t="inlineStr">
        <is>
          <t>청량시원</t>
        </is>
      </c>
      <c r="F73" s="25" t="inlineStr">
        <is>
          <t>드라이브</t>
        </is>
      </c>
      <c r="G73" s="24" t="inlineStr">
        <is>
          <t>여돌</t>
        </is>
      </c>
      <c r="H73" s="22" t="n"/>
      <c r="I73" s="22">
        <f>IF($H78="","","https://youtu.be/"&amp;$H78)</f>
        <v/>
      </c>
      <c r="J73" s="22">
        <f>IF($H78="","","https://music.youtube.com/watch?v="&amp;$H78)</f>
        <v/>
      </c>
      <c r="K73" s="22">
        <f>IF($H78="","","https://img.youtube.com/vi/"&amp;$H78&amp;"/hqdefault.jpg")</f>
        <v/>
      </c>
      <c r="L73" s="24" t="inlineStr">
        <is>
          <t>확인필요</t>
        </is>
      </c>
      <c r="M73" s="21" t="inlineStr">
        <is>
          <t>N</t>
        </is>
      </c>
      <c r="N73" s="24" t="inlineStr">
        <is>
          <t>높음</t>
        </is>
      </c>
      <c r="O73" s="25" t="inlineStr">
        <is>
          <t>씨앗(검증 전)</t>
        </is>
      </c>
      <c r="P73" s="22" t="inlineStr">
        <is>
          <t>https://www.youtube.com/results?search_query=%EB%B8%8C%EB%A0%88%EC%9D%B4%EB%B8%8C%EA%B1%B8%EC%8A%A4%20Pool%20Party</t>
        </is>
      </c>
      <c r="Q73" s="22" t="inlineStr">
        <is>
          <t>https://music.youtube.com/search?q=%EB%B8%8C%EB%A0%88%EC%9D%B4%EB%B8%8C%EA%B1%B8%EC%8A%A4%20Pool%20Party</t>
        </is>
      </c>
    </row>
    <row r="74" ht="15" customHeight="1" s="17">
      <c r="A74" s="21" t="inlineStr">
        <is>
          <t>S073</t>
        </is>
      </c>
      <c r="B74" s="22" t="inlineStr">
        <is>
          <t>Talk that Talk</t>
        </is>
      </c>
      <c r="C74" s="25" t="inlineStr">
        <is>
          <t>트와이스</t>
        </is>
      </c>
      <c r="D74" s="23" t="inlineStr">
        <is>
          <t>2022</t>
        </is>
      </c>
      <c r="E74" s="24" t="inlineStr">
        <is>
          <t>청량시원</t>
        </is>
      </c>
      <c r="F74" s="25" t="inlineStr">
        <is>
          <t>드라이브</t>
        </is>
      </c>
      <c r="G74" s="24" t="inlineStr">
        <is>
          <t>여돌</t>
        </is>
      </c>
      <c r="H74" s="22" t="n"/>
      <c r="I74" s="22">
        <f>IF($H79="","","https://youtu.be/"&amp;$H79)</f>
        <v/>
      </c>
      <c r="J74" s="22">
        <f>IF($H79="","","https://music.youtube.com/watch?v="&amp;$H79)</f>
        <v/>
      </c>
      <c r="K74" s="22">
        <f>IF($H79="","","https://img.youtube.com/vi/"&amp;$H79&amp;"/hqdefault.jpg")</f>
        <v/>
      </c>
      <c r="L74" s="24" t="inlineStr">
        <is>
          <t>확인필요</t>
        </is>
      </c>
      <c r="M74" s="21" t="inlineStr">
        <is>
          <t>N</t>
        </is>
      </c>
      <c r="N74" s="24" t="inlineStr">
        <is>
          <t>높음</t>
        </is>
      </c>
      <c r="O74" s="25" t="inlineStr">
        <is>
          <t>씨앗(검증 전)</t>
        </is>
      </c>
      <c r="P74" s="22" t="inlineStr">
        <is>
          <t>https://www.youtube.com/results?search_query=%ED%8A%B8%EC%99%80%EC%9D%B4%EC%8A%A4%20Talk%20that%20Talk</t>
        </is>
      </c>
      <c r="Q74" s="22" t="inlineStr">
        <is>
          <t>https://music.youtube.com/search?q=%ED%8A%B8%EC%99%80%EC%9D%B4%EC%8A%A4%20Talk%20that%20Talk</t>
        </is>
      </c>
    </row>
    <row r="75" ht="15" customHeight="1" s="17">
      <c r="A75" s="21" t="inlineStr">
        <is>
          <t>S074</t>
        </is>
      </c>
      <c r="B75" s="22" t="inlineStr">
        <is>
          <t>WA DA DA</t>
        </is>
      </c>
      <c r="C75" s="25" t="inlineStr">
        <is>
          <t>케플러</t>
        </is>
      </c>
      <c r="D75" s="23" t="inlineStr">
        <is>
          <t>2022</t>
        </is>
      </c>
      <c r="E75" s="24" t="inlineStr">
        <is>
          <t>청량시원</t>
        </is>
      </c>
      <c r="F75" s="25" t="inlineStr">
        <is>
          <t>바다, 드라이브</t>
        </is>
      </c>
      <c r="G75" s="24" t="inlineStr">
        <is>
          <t>여돌</t>
        </is>
      </c>
      <c r="H75" s="22" t="n"/>
      <c r="I75" s="22">
        <f>IF($H80="","","https://youtu.be/"&amp;$H80)</f>
        <v/>
      </c>
      <c r="J75" s="22">
        <f>IF($H80="","","https://music.youtube.com/watch?v="&amp;$H80)</f>
        <v/>
      </c>
      <c r="K75" s="22">
        <f>IF($H80="","","https://img.youtube.com/vi/"&amp;$H80&amp;"/hqdefault.jpg")</f>
        <v/>
      </c>
      <c r="L75" s="24" t="inlineStr">
        <is>
          <t>확인필요</t>
        </is>
      </c>
      <c r="M75" s="21" t="inlineStr">
        <is>
          <t>N</t>
        </is>
      </c>
      <c r="N75" s="24" t="inlineStr">
        <is>
          <t>높음</t>
        </is>
      </c>
      <c r="O75" s="25" t="inlineStr">
        <is>
          <t>씨앗(검증 전)</t>
        </is>
      </c>
      <c r="P75" s="22" t="inlineStr">
        <is>
          <t>https://www.youtube.com/results?search_query=%EC%BC%80%ED%94%8C%EB%9F%AC%20WA%20DA%20DA</t>
        </is>
      </c>
      <c r="Q75" s="22" t="inlineStr">
        <is>
          <t>https://music.youtube.com/search?q=%EC%BC%80%ED%94%8C%EB%9F%AC%20WA%20DA%20DA</t>
        </is>
      </c>
    </row>
    <row r="76" ht="15" customHeight="1" s="17">
      <c r="A76" s="21" t="inlineStr">
        <is>
          <t>S075</t>
        </is>
      </c>
      <c r="B76" s="22" t="inlineStr">
        <is>
          <t>Alcohol-Free</t>
        </is>
      </c>
      <c r="C76" s="25" t="inlineStr">
        <is>
          <t>트와이스</t>
        </is>
      </c>
      <c r="D76" s="23" t="inlineStr">
        <is>
          <t>2021</t>
        </is>
      </c>
      <c r="E76" s="24" t="inlineStr">
        <is>
          <t>청량시원</t>
        </is>
      </c>
      <c r="F76" s="25" t="inlineStr">
        <is>
          <t>바다</t>
        </is>
      </c>
      <c r="G76" s="24" t="inlineStr">
        <is>
          <t>여돌</t>
        </is>
      </c>
      <c r="H76" s="22" t="n"/>
      <c r="I76" s="22">
        <f>IF($H81="","","https://youtu.be/"&amp;$H81)</f>
        <v/>
      </c>
      <c r="J76" s="22">
        <f>IF($H81="","","https://music.youtube.com/watch?v="&amp;$H81)</f>
        <v/>
      </c>
      <c r="K76" s="22">
        <f>IF($H81="","","https://img.youtube.com/vi/"&amp;$H81&amp;"/hqdefault.jpg")</f>
        <v/>
      </c>
      <c r="L76" s="24" t="inlineStr">
        <is>
          <t>확인필요</t>
        </is>
      </c>
      <c r="M76" s="21" t="inlineStr">
        <is>
          <t>N</t>
        </is>
      </c>
      <c r="N76" s="24" t="inlineStr">
        <is>
          <t>높음</t>
        </is>
      </c>
      <c r="O76" s="25" t="inlineStr">
        <is>
          <t>씨앗(검증 전)</t>
        </is>
      </c>
      <c r="P76" s="22" t="inlineStr">
        <is>
          <t>https://www.youtube.com/results?search_query=%ED%8A%B8%EC%99%80%EC%9D%B4%EC%8A%A4%20Alcohol-Free</t>
        </is>
      </c>
      <c r="Q76" s="22" t="inlineStr">
        <is>
          <t>https://music.youtube.com/search?q=%ED%8A%B8%EC%99%80%EC%9D%B4%EC%8A%A4%20Alcohol-Free</t>
        </is>
      </c>
    </row>
    <row r="77" ht="15" customHeight="1" s="17">
      <c r="A77" s="21" t="inlineStr">
        <is>
          <t>S076</t>
        </is>
      </c>
      <c r="B77" s="22" t="inlineStr">
        <is>
          <t>Dun Dun Dance</t>
        </is>
      </c>
      <c r="C77" s="25" t="inlineStr">
        <is>
          <t>오마이걸</t>
        </is>
      </c>
      <c r="D77" s="23" t="inlineStr">
        <is>
          <t>2021</t>
        </is>
      </c>
      <c r="E77" s="24" t="inlineStr">
        <is>
          <t>청량시원</t>
        </is>
      </c>
      <c r="F77" s="25" t="inlineStr">
        <is>
          <t>바다</t>
        </is>
      </c>
      <c r="G77" s="24" t="inlineStr">
        <is>
          <t>여돌</t>
        </is>
      </c>
      <c r="H77" s="22" t="n"/>
      <c r="I77" s="22">
        <f>IF($H82="","","https://youtu.be/"&amp;$H82)</f>
        <v/>
      </c>
      <c r="J77" s="22">
        <f>IF($H82="","","https://music.youtube.com/watch?v="&amp;$H82)</f>
        <v/>
      </c>
      <c r="K77" s="22">
        <f>IF($H82="","","https://img.youtube.com/vi/"&amp;$H82&amp;"/hqdefault.jpg")</f>
        <v/>
      </c>
      <c r="L77" s="24" t="inlineStr">
        <is>
          <t>확인필요</t>
        </is>
      </c>
      <c r="M77" s="21" t="inlineStr">
        <is>
          <t>N</t>
        </is>
      </c>
      <c r="N77" s="24" t="inlineStr">
        <is>
          <t>높음</t>
        </is>
      </c>
      <c r="O77" s="25" t="inlineStr">
        <is>
          <t>씨앗(검증 전)</t>
        </is>
      </c>
      <c r="P77" s="22" t="inlineStr">
        <is>
          <t>https://www.youtube.com/results?search_query=%EC%98%A4%EB%A7%88%EC%9D%B4%EA%B1%B8%20Dun%20Dun%20Dance</t>
        </is>
      </c>
      <c r="Q77" s="22" t="inlineStr">
        <is>
          <t>https://music.youtube.com/search?q=%EC%98%A4%EB%A7%88%EC%9D%B4%EA%B1%B8%20Dun%20Dun%20Dance</t>
        </is>
      </c>
    </row>
    <row r="78" ht="15" customHeight="1" s="17">
      <c r="A78" s="21" t="inlineStr">
        <is>
          <t>S077</t>
        </is>
      </c>
      <c r="B78" s="22" t="inlineStr">
        <is>
          <t>Next Level</t>
        </is>
      </c>
      <c r="C78" s="22" t="inlineStr">
        <is>
          <t>aespa</t>
        </is>
      </c>
      <c r="D78" s="23" t="inlineStr">
        <is>
          <t>2021</t>
        </is>
      </c>
      <c r="E78" s="24" t="inlineStr">
        <is>
          <t>청량시원</t>
        </is>
      </c>
      <c r="F78" s="25" t="inlineStr">
        <is>
          <t>바다, 드라이브</t>
        </is>
      </c>
      <c r="G78" s="24" t="inlineStr">
        <is>
          <t>여돌</t>
        </is>
      </c>
      <c r="H78" s="22" t="n"/>
      <c r="I78" s="22">
        <f>IF($H83="","","https://youtu.be/"&amp;$H83)</f>
        <v/>
      </c>
      <c r="J78" s="22">
        <f>IF($H83="","","https://music.youtube.com/watch?v="&amp;$H83)</f>
        <v/>
      </c>
      <c r="K78" s="22">
        <f>IF($H83="","","https://img.youtube.com/vi/"&amp;$H83&amp;"/hqdefault.jpg")</f>
        <v/>
      </c>
      <c r="L78" s="24" t="inlineStr">
        <is>
          <t>확인필요</t>
        </is>
      </c>
      <c r="M78" s="21" t="inlineStr">
        <is>
          <t>N</t>
        </is>
      </c>
      <c r="N78" s="24" t="inlineStr">
        <is>
          <t>높음</t>
        </is>
      </c>
      <c r="O78" s="25" t="inlineStr">
        <is>
          <t>씨앗(검증 전)</t>
        </is>
      </c>
      <c r="P78" s="22" t="inlineStr">
        <is>
          <t>https://www.youtube.com/results?search_query=aespa%20Next%20Level</t>
        </is>
      </c>
      <c r="Q78" s="22" t="inlineStr">
        <is>
          <t>https://music.youtube.com/search?q=aespa%20Next%20Level</t>
        </is>
      </c>
    </row>
    <row r="79" ht="15" customHeight="1" s="17">
      <c r="A79" s="21" t="inlineStr">
        <is>
          <t>S078</t>
        </is>
      </c>
      <c r="B79" s="22" t="inlineStr">
        <is>
          <t>PTT (Paint The Town)</t>
        </is>
      </c>
      <c r="C79" s="25" t="inlineStr">
        <is>
          <t>이달의 소녀</t>
        </is>
      </c>
      <c r="D79" s="23" t="inlineStr">
        <is>
          <t>2021</t>
        </is>
      </c>
      <c r="E79" s="24" t="inlineStr">
        <is>
          <t>청량시원</t>
        </is>
      </c>
      <c r="F79" s="25" t="inlineStr">
        <is>
          <t>드라이브</t>
        </is>
      </c>
      <c r="G79" s="24" t="inlineStr">
        <is>
          <t>여돌</t>
        </is>
      </c>
      <c r="H79" s="22" t="n"/>
      <c r="I79" s="22">
        <f>IF($H84="","","https://youtu.be/"&amp;$H84)</f>
        <v/>
      </c>
      <c r="J79" s="22">
        <f>IF($H84="","","https://music.youtube.com/watch?v="&amp;$H84)</f>
        <v/>
      </c>
      <c r="K79" s="22">
        <f>IF($H84="","","https://img.youtube.com/vi/"&amp;$H84&amp;"/hqdefault.jpg")</f>
        <v/>
      </c>
      <c r="L79" s="24" t="inlineStr">
        <is>
          <t>확인필요</t>
        </is>
      </c>
      <c r="M79" s="21" t="inlineStr">
        <is>
          <t>N</t>
        </is>
      </c>
      <c r="N79" s="24" t="inlineStr">
        <is>
          <t>높음</t>
        </is>
      </c>
      <c r="O79" s="25" t="inlineStr">
        <is>
          <t>씨앗(검증 전)</t>
        </is>
      </c>
      <c r="P79" s="22" t="inlineStr">
        <is>
          <t>https://www.youtube.com/results?search_query=%EC%9D%B4%EB%8B%AC%EC%9D%98%20%EC%86%8C%EB%85%80%20PTT%20%28Paint%20The%20Town%29</t>
        </is>
      </c>
      <c r="Q79" s="22" t="inlineStr">
        <is>
          <t>https://music.youtube.com/search?q=%EC%9D%B4%EB%8B%AC%EC%9D%98%20%EC%86%8C%EB%85%80%20PTT%20%28Paint%20The%20Town%29</t>
        </is>
      </c>
    </row>
    <row r="80" ht="15" customHeight="1" s="17">
      <c r="A80" s="21" t="inlineStr">
        <is>
          <t>S079</t>
        </is>
      </c>
      <c r="B80" s="25" t="inlineStr">
        <is>
          <t>마.피.아. In the morning</t>
        </is>
      </c>
      <c r="C80" s="25" t="inlineStr">
        <is>
          <t>있지</t>
        </is>
      </c>
      <c r="D80" s="23" t="inlineStr">
        <is>
          <t>2021</t>
        </is>
      </c>
      <c r="E80" s="24" t="inlineStr">
        <is>
          <t>청량시원</t>
        </is>
      </c>
      <c r="F80" s="25" t="inlineStr">
        <is>
          <t>바다</t>
        </is>
      </c>
      <c r="G80" s="24" t="inlineStr">
        <is>
          <t>여돌</t>
        </is>
      </c>
      <c r="H80" s="22" t="n"/>
      <c r="I80" s="22">
        <f>IF($H85="","","https://youtu.be/"&amp;$H85)</f>
        <v/>
      </c>
      <c r="J80" s="22">
        <f>IF($H85="","","https://music.youtube.com/watch?v="&amp;$H85)</f>
        <v/>
      </c>
      <c r="K80" s="22">
        <f>IF($H85="","","https://img.youtube.com/vi/"&amp;$H85&amp;"/hqdefault.jpg")</f>
        <v/>
      </c>
      <c r="L80" s="24" t="inlineStr">
        <is>
          <t>확인필요</t>
        </is>
      </c>
      <c r="M80" s="21" t="inlineStr">
        <is>
          <t>N</t>
        </is>
      </c>
      <c r="N80" s="24" t="inlineStr">
        <is>
          <t>높음</t>
        </is>
      </c>
      <c r="O80" s="25" t="inlineStr">
        <is>
          <t>씨앗(검증 전)</t>
        </is>
      </c>
      <c r="P80" s="22" t="inlineStr">
        <is>
          <t>https://www.youtube.com/results?search_query=%EC%9E%88%EC%A7%80%20%EB%A7%88.%ED%94%BC.%EC%95%84.%20In%20the%20morning</t>
        </is>
      </c>
      <c r="Q80" s="22" t="inlineStr">
        <is>
          <t>https://music.youtube.com/search?q=%EC%9E%88%EC%A7%80%20%EB%A7%88.%ED%94%BC.%EC%95%84.%20In%20the%20morning</t>
        </is>
      </c>
    </row>
    <row r="81" ht="15" customHeight="1" s="17">
      <c r="A81" s="21" t="inlineStr">
        <is>
          <t>S080</t>
        </is>
      </c>
      <c r="B81" s="25" t="inlineStr">
        <is>
          <t>치맛바람 (Chi Mat Ba Ram)</t>
        </is>
      </c>
      <c r="C81" s="25" t="inlineStr">
        <is>
          <t>브레이브걸스</t>
        </is>
      </c>
      <c r="D81" s="23" t="inlineStr">
        <is>
          <t>2021</t>
        </is>
      </c>
      <c r="E81" s="24" t="inlineStr">
        <is>
          <t>청량시원</t>
        </is>
      </c>
      <c r="F81" s="25" t="inlineStr">
        <is>
          <t>드라이브</t>
        </is>
      </c>
      <c r="G81" s="24" t="inlineStr">
        <is>
          <t>여돌</t>
        </is>
      </c>
      <c r="H81" s="22" t="n"/>
      <c r="I81" s="22">
        <f>IF($H86="","","https://youtu.be/"&amp;$H86)</f>
        <v/>
      </c>
      <c r="J81" s="22">
        <f>IF($H86="","","https://music.youtube.com/watch?v="&amp;$H86)</f>
        <v/>
      </c>
      <c r="K81" s="22">
        <f>IF($H86="","","https://img.youtube.com/vi/"&amp;$H86&amp;"/hqdefault.jpg")</f>
        <v/>
      </c>
      <c r="L81" s="24" t="inlineStr">
        <is>
          <t>확인필요</t>
        </is>
      </c>
      <c r="M81" s="21" t="inlineStr">
        <is>
          <t>N</t>
        </is>
      </c>
      <c r="N81" s="24" t="inlineStr">
        <is>
          <t>높음</t>
        </is>
      </c>
      <c r="O81" s="25" t="inlineStr">
        <is>
          <t>씨앗(검증 전)</t>
        </is>
      </c>
      <c r="P81" s="22" t="inlineStr">
        <is>
          <t>https://www.youtube.com/results?search_query=%EB%B8%8C%EB%A0%88%EC%9D%B4%EB%B8%8C%EA%B1%B8%EC%8A%A4%20%EC%B9%98%EB%A7%9B%EB%B0%94%EB%9E%8C%20%28Chi%20Mat%20Ba%20Ram%29</t>
        </is>
      </c>
      <c r="Q81" s="22" t="inlineStr">
        <is>
          <t>https://music.youtube.com/search?q=%EB%B8%8C%EB%A0%88%EC%9D%B4%EB%B8%8C%EA%B1%B8%EC%8A%A4%20%EC%B9%98%EB%A7%9B%EB%B0%94%EB%9E%8C%20%28Chi%20Mat%20Ba%20Ram%29</t>
        </is>
      </c>
    </row>
    <row r="82" ht="15" customHeight="1" s="17">
      <c r="A82" s="21" t="inlineStr">
        <is>
          <t>S081</t>
        </is>
      </c>
      <c r="B82" s="22" t="inlineStr">
        <is>
          <t>DUMDi DUMDi (덤디덤디)</t>
        </is>
      </c>
      <c r="C82" s="25" t="inlineStr">
        <is>
          <t>여자아이들</t>
        </is>
      </c>
      <c r="D82" s="23" t="inlineStr">
        <is>
          <t>2020</t>
        </is>
      </c>
      <c r="E82" s="24" t="inlineStr">
        <is>
          <t>청량시원</t>
        </is>
      </c>
      <c r="F82" s="25" t="inlineStr">
        <is>
          <t>바다</t>
        </is>
      </c>
      <c r="G82" s="24" t="inlineStr">
        <is>
          <t>여돌</t>
        </is>
      </c>
      <c r="H82" s="22" t="n"/>
      <c r="I82" s="22">
        <f>IF($H87="","","https://youtu.be/"&amp;$H87)</f>
        <v/>
      </c>
      <c r="J82" s="22">
        <f>IF($H87="","","https://music.youtube.com/watch?v="&amp;$H87)</f>
        <v/>
      </c>
      <c r="K82" s="22">
        <f>IF($H87="","","https://img.youtube.com/vi/"&amp;$H87&amp;"/hqdefault.jpg")</f>
        <v/>
      </c>
      <c r="L82" s="24" t="inlineStr">
        <is>
          <t>확인필요</t>
        </is>
      </c>
      <c r="M82" s="21" t="inlineStr">
        <is>
          <t>N</t>
        </is>
      </c>
      <c r="N82" s="24" t="inlineStr">
        <is>
          <t>높음</t>
        </is>
      </c>
      <c r="O82" s="25" t="inlineStr">
        <is>
          <t>씨앗(검증 전)</t>
        </is>
      </c>
      <c r="P82" s="22" t="inlineStr">
        <is>
          <t>https://www.youtube.com/results?search_query=%EC%97%AC%EC%9E%90%EC%95%84%EC%9D%B4%EB%93%A4%20DUMDi%20DUMDi%20%28%EB%8D%A4%EB%94%94%EB%8D%A4%EB%94%94%29</t>
        </is>
      </c>
      <c r="Q82" s="22" t="inlineStr">
        <is>
          <t>https://music.youtube.com/search?q=%EC%97%AC%EC%9E%90%EC%95%84%EC%9D%B4%EB%93%A4%20DUMDi%20DUMDi%20%28%EB%8D%A4%EB%94%94%EB%8D%A4%EB%94%94%29</t>
        </is>
      </c>
    </row>
    <row r="83" ht="15" customHeight="1" s="17">
      <c r="A83" s="21" t="inlineStr">
        <is>
          <t>S082</t>
        </is>
      </c>
      <c r="B83" s="22" t="inlineStr">
        <is>
          <t>Dolphin</t>
        </is>
      </c>
      <c r="C83" s="25" t="inlineStr">
        <is>
          <t>오마이걸</t>
        </is>
      </c>
      <c r="D83" s="23" t="inlineStr">
        <is>
          <t>2020</t>
        </is>
      </c>
      <c r="E83" s="24" t="inlineStr">
        <is>
          <t>청량시원</t>
        </is>
      </c>
      <c r="F83" s="25" t="inlineStr">
        <is>
          <t>바다, 드라이브</t>
        </is>
      </c>
      <c r="G83" s="24" t="inlineStr">
        <is>
          <t>여돌</t>
        </is>
      </c>
      <c r="H83" s="22" t="n"/>
      <c r="I83" s="22">
        <f>IF($H88="","","https://youtu.be/"&amp;$H88)</f>
        <v/>
      </c>
      <c r="J83" s="22">
        <f>IF($H88="","","https://music.youtube.com/watch?v="&amp;$H88)</f>
        <v/>
      </c>
      <c r="K83" s="22">
        <f>IF($H88="","","https://img.youtube.com/vi/"&amp;$H88&amp;"/hqdefault.jpg")</f>
        <v/>
      </c>
      <c r="L83" s="24" t="inlineStr">
        <is>
          <t>확인필요</t>
        </is>
      </c>
      <c r="M83" s="21" t="inlineStr">
        <is>
          <t>N</t>
        </is>
      </c>
      <c r="N83" s="24" t="inlineStr">
        <is>
          <t>높음</t>
        </is>
      </c>
      <c r="O83" s="25" t="inlineStr">
        <is>
          <t>씨앗(검증 전)</t>
        </is>
      </c>
      <c r="P83" s="22" t="inlineStr">
        <is>
          <t>https://www.youtube.com/results?search_query=%EC%98%A4%EB%A7%88%EC%9D%B4%EA%B1%B8%20Dolphin</t>
        </is>
      </c>
      <c r="Q83" s="22" t="inlineStr">
        <is>
          <t>https://music.youtube.com/search?q=%EC%98%A4%EB%A7%88%EC%9D%B4%EA%B1%B8%20Dolphin</t>
        </is>
      </c>
    </row>
    <row r="84" ht="15" customHeight="1" s="17">
      <c r="A84" s="21" t="inlineStr">
        <is>
          <t>S083</t>
        </is>
      </c>
      <c r="B84" s="22" t="inlineStr">
        <is>
          <t>Not Shy</t>
        </is>
      </c>
      <c r="C84" s="25" t="inlineStr">
        <is>
          <t>있지</t>
        </is>
      </c>
      <c r="D84" s="23" t="inlineStr">
        <is>
          <t>2020</t>
        </is>
      </c>
      <c r="E84" s="24" t="inlineStr">
        <is>
          <t>청량시원</t>
        </is>
      </c>
      <c r="F84" s="25" t="inlineStr">
        <is>
          <t>바다, 드라이브</t>
        </is>
      </c>
      <c r="G84" s="24" t="inlineStr">
        <is>
          <t>여돌</t>
        </is>
      </c>
      <c r="H84" s="22" t="n"/>
      <c r="I84" s="22">
        <f>IF($H89="","","https://youtu.be/"&amp;$H89)</f>
        <v/>
      </c>
      <c r="J84" s="22">
        <f>IF($H89="","","https://music.youtube.com/watch?v="&amp;$H89)</f>
        <v/>
      </c>
      <c r="K84" s="22">
        <f>IF($H89="","","https://img.youtube.com/vi/"&amp;$H89&amp;"/hqdefault.jpg")</f>
        <v/>
      </c>
      <c r="L84" s="24" t="inlineStr">
        <is>
          <t>확인필요</t>
        </is>
      </c>
      <c r="M84" s="21" t="inlineStr">
        <is>
          <t>N</t>
        </is>
      </c>
      <c r="N84" s="24" t="inlineStr">
        <is>
          <t>높음</t>
        </is>
      </c>
      <c r="O84" s="25" t="inlineStr">
        <is>
          <t>씨앗(검증 전)</t>
        </is>
      </c>
      <c r="P84" s="22" t="inlineStr">
        <is>
          <t>https://www.youtube.com/results?search_query=%EC%9E%88%EC%A7%80%20Not%20Shy</t>
        </is>
      </c>
      <c r="Q84" s="22" t="inlineStr">
        <is>
          <t>https://music.youtube.com/search?q=%EC%9E%88%EC%A7%80%20Not%20Shy</t>
        </is>
      </c>
    </row>
    <row r="85" ht="15" customHeight="1" s="17">
      <c r="A85" s="21" t="inlineStr">
        <is>
          <t>S084</t>
        </is>
      </c>
      <c r="B85" s="22" t="inlineStr">
        <is>
          <t>So What</t>
        </is>
      </c>
      <c r="C85" s="25" t="inlineStr">
        <is>
          <t>이달의 소녀</t>
        </is>
      </c>
      <c r="D85" s="23" t="inlineStr">
        <is>
          <t>2020</t>
        </is>
      </c>
      <c r="E85" s="24" t="inlineStr">
        <is>
          <t>청량시원</t>
        </is>
      </c>
      <c r="F85" s="25" t="inlineStr">
        <is>
          <t>바다</t>
        </is>
      </c>
      <c r="G85" s="24" t="inlineStr">
        <is>
          <t>여돌</t>
        </is>
      </c>
      <c r="H85" s="22" t="n"/>
      <c r="I85" s="22">
        <f>IF($H90="","","https://youtu.be/"&amp;$H90)</f>
        <v/>
      </c>
      <c r="J85" s="22">
        <f>IF($H90="","","https://music.youtube.com/watch?v="&amp;$H90)</f>
        <v/>
      </c>
      <c r="K85" s="22">
        <f>IF($H90="","","https://img.youtube.com/vi/"&amp;$H90&amp;"/hqdefault.jpg")</f>
        <v/>
      </c>
      <c r="L85" s="24" t="inlineStr">
        <is>
          <t>확인필요</t>
        </is>
      </c>
      <c r="M85" s="21" t="inlineStr">
        <is>
          <t>N</t>
        </is>
      </c>
      <c r="N85" s="24" t="inlineStr">
        <is>
          <t>높음</t>
        </is>
      </c>
      <c r="O85" s="25" t="inlineStr">
        <is>
          <t>씨앗(검증 전)</t>
        </is>
      </c>
      <c r="P85" s="22" t="inlineStr">
        <is>
          <t>https://www.youtube.com/results?search_query=%EC%9D%B4%EB%8B%AC%EC%9D%98%20%EC%86%8C%EB%85%80%20So%20What</t>
        </is>
      </c>
      <c r="Q85" s="22" t="inlineStr">
        <is>
          <t>https://music.youtube.com/search?q=%EC%9D%B4%EB%8B%AC%EC%9D%98%20%EC%86%8C%EB%85%80%20So%20What</t>
        </is>
      </c>
    </row>
    <row r="86" ht="15" customHeight="1" s="17">
      <c r="A86" s="21" t="inlineStr">
        <is>
          <t>S085</t>
        </is>
      </c>
      <c r="B86" s="22" t="inlineStr">
        <is>
          <t>WANNABE</t>
        </is>
      </c>
      <c r="C86" s="25" t="inlineStr">
        <is>
          <t>있지</t>
        </is>
      </c>
      <c r="D86" s="23" t="inlineStr">
        <is>
          <t>2020</t>
        </is>
      </c>
      <c r="E86" s="24" t="inlineStr">
        <is>
          <t>청량시원</t>
        </is>
      </c>
      <c r="F86" s="25" t="inlineStr">
        <is>
          <t>바다, 드라이브</t>
        </is>
      </c>
      <c r="G86" s="24" t="inlineStr">
        <is>
          <t>여돌</t>
        </is>
      </c>
      <c r="H86" s="22" t="n"/>
      <c r="I86" s="22">
        <f>IF($H91="","","https://youtu.be/"&amp;$H91)</f>
        <v/>
      </c>
      <c r="J86" s="22">
        <f>IF($H91="","","https://music.youtube.com/watch?v="&amp;$H91)</f>
        <v/>
      </c>
      <c r="K86" s="22">
        <f>IF($H91="","","https://img.youtube.com/vi/"&amp;$H91&amp;"/hqdefault.jpg")</f>
        <v/>
      </c>
      <c r="L86" s="24" t="inlineStr">
        <is>
          <t>확인필요</t>
        </is>
      </c>
      <c r="M86" s="21" t="inlineStr">
        <is>
          <t>N</t>
        </is>
      </c>
      <c r="N86" s="24" t="inlineStr">
        <is>
          <t>높음</t>
        </is>
      </c>
      <c r="O86" s="25" t="inlineStr">
        <is>
          <t>씨앗(검증 전)</t>
        </is>
      </c>
      <c r="P86" s="22" t="inlineStr">
        <is>
          <t>https://www.youtube.com/results?search_query=%EC%9E%88%EC%A7%80%20WANNABE</t>
        </is>
      </c>
      <c r="Q86" s="22" t="inlineStr">
        <is>
          <t>https://music.youtube.com/search?q=%EC%9E%88%EC%A7%80%20WANNABE</t>
        </is>
      </c>
    </row>
    <row r="87" ht="15" customHeight="1" s="17">
      <c r="A87" s="21" t="inlineStr">
        <is>
          <t>S086</t>
        </is>
      </c>
      <c r="B87" s="25" t="inlineStr">
        <is>
          <t>운전만 해 (We Ride)</t>
        </is>
      </c>
      <c r="C87" s="25" t="inlineStr">
        <is>
          <t>브레이브걸스</t>
        </is>
      </c>
      <c r="D87" s="23" t="inlineStr">
        <is>
          <t>2020</t>
        </is>
      </c>
      <c r="E87" s="24" t="inlineStr">
        <is>
          <t>청량시원</t>
        </is>
      </c>
      <c r="F87" s="25" t="inlineStr">
        <is>
          <t>바다, 드라이브</t>
        </is>
      </c>
      <c r="G87" s="24" t="inlineStr">
        <is>
          <t>여돌</t>
        </is>
      </c>
      <c r="H87" s="22" t="n"/>
      <c r="I87" s="22">
        <f>IF($H92="","","https://youtu.be/"&amp;$H92)</f>
        <v/>
      </c>
      <c r="J87" s="22">
        <f>IF($H92="","","https://music.youtube.com/watch?v="&amp;$H92)</f>
        <v/>
      </c>
      <c r="K87" s="22">
        <f>IF($H92="","","https://img.youtube.com/vi/"&amp;$H92&amp;"/hqdefault.jpg")</f>
        <v/>
      </c>
      <c r="L87" s="24" t="inlineStr">
        <is>
          <t>확인필요</t>
        </is>
      </c>
      <c r="M87" s="21" t="inlineStr">
        <is>
          <t>N</t>
        </is>
      </c>
      <c r="N87" s="24" t="inlineStr">
        <is>
          <t>높음</t>
        </is>
      </c>
      <c r="O87" s="25" t="inlineStr">
        <is>
          <t>씨앗(검증 전)</t>
        </is>
      </c>
      <c r="P87" s="22" t="inlineStr">
        <is>
          <t>https://www.youtube.com/results?search_query=%EB%B8%8C%EB%A0%88%EC%9D%B4%EB%B8%8C%EA%B1%B8%EC%8A%A4%20%EC%9A%B4%EC%A0%84%EB%A7%8C%20%ED%95%B4%20%28We%20Ride%29</t>
        </is>
      </c>
      <c r="Q87" s="22" t="inlineStr">
        <is>
          <t>https://music.youtube.com/search?q=%EB%B8%8C%EB%A0%88%EC%9D%B4%EB%B8%8C%EA%B1%B8%EC%8A%A4%20%EC%9A%B4%EC%A0%84%EB%A7%8C%20%ED%95%B4%20%28We%20Ride%29</t>
        </is>
      </c>
    </row>
    <row r="88" ht="15" customHeight="1" s="17">
      <c r="A88" s="21" t="inlineStr">
        <is>
          <t>S087</t>
        </is>
      </c>
      <c r="B88" s="22" t="inlineStr">
        <is>
          <t>Boogie Up</t>
        </is>
      </c>
      <c r="C88" s="25" t="inlineStr">
        <is>
          <t>우주소녀</t>
        </is>
      </c>
      <c r="D88" s="23" t="inlineStr">
        <is>
          <t>2019</t>
        </is>
      </c>
      <c r="E88" s="24" t="inlineStr">
        <is>
          <t>청량시원</t>
        </is>
      </c>
      <c r="F88" s="25" t="inlineStr">
        <is>
          <t>바다</t>
        </is>
      </c>
      <c r="G88" s="24" t="inlineStr">
        <is>
          <t>여돌</t>
        </is>
      </c>
      <c r="H88" s="22" t="n"/>
      <c r="I88" s="22">
        <f>IF($H93="","","https://youtu.be/"&amp;$H93)</f>
        <v/>
      </c>
      <c r="J88" s="22">
        <f>IF($H93="","","https://music.youtube.com/watch?v="&amp;$H93)</f>
        <v/>
      </c>
      <c r="K88" s="22">
        <f>IF($H93="","","https://img.youtube.com/vi/"&amp;$H93&amp;"/hqdefault.jpg")</f>
        <v/>
      </c>
      <c r="L88" s="24" t="inlineStr">
        <is>
          <t>확인필요</t>
        </is>
      </c>
      <c r="M88" s="21" t="inlineStr">
        <is>
          <t>N</t>
        </is>
      </c>
      <c r="N88" s="24" t="inlineStr">
        <is>
          <t>높음</t>
        </is>
      </c>
      <c r="O88" s="25" t="inlineStr">
        <is>
          <t>씨앗(검증 전)</t>
        </is>
      </c>
      <c r="P88" s="22" t="inlineStr">
        <is>
          <t>https://www.youtube.com/results?search_query=%EC%9A%B0%EC%A3%BC%EC%86%8C%EB%85%80%20Boogie%20Up</t>
        </is>
      </c>
      <c r="Q88" s="22" t="inlineStr">
        <is>
          <t>https://music.youtube.com/search?q=%EC%9A%B0%EC%A3%BC%EC%86%8C%EB%85%80%20Boogie%20Up</t>
        </is>
      </c>
    </row>
    <row r="89" ht="15" customHeight="1" s="17">
      <c r="A89" s="21" t="inlineStr">
        <is>
          <t>S088</t>
        </is>
      </c>
      <c r="B89" s="22" t="inlineStr">
        <is>
          <t>HIP</t>
        </is>
      </c>
      <c r="C89" s="25" t="inlineStr">
        <is>
          <t>마마무</t>
        </is>
      </c>
      <c r="D89" s="23" t="inlineStr">
        <is>
          <t>2019</t>
        </is>
      </c>
      <c r="E89" s="24" t="inlineStr">
        <is>
          <t>청량시원</t>
        </is>
      </c>
      <c r="F89" s="25" t="inlineStr">
        <is>
          <t>드라이브</t>
        </is>
      </c>
      <c r="G89" s="24" t="inlineStr">
        <is>
          <t>여돌</t>
        </is>
      </c>
      <c r="H89" s="22" t="n"/>
      <c r="I89" s="22">
        <f>IF($H94="","","https://youtu.be/"&amp;$H94)</f>
        <v/>
      </c>
      <c r="J89" s="22">
        <f>IF($H94="","","https://music.youtube.com/watch?v="&amp;$H94)</f>
        <v/>
      </c>
      <c r="K89" s="22">
        <f>IF($H94="","","https://img.youtube.com/vi/"&amp;$H94&amp;"/hqdefault.jpg")</f>
        <v/>
      </c>
      <c r="L89" s="24" t="inlineStr">
        <is>
          <t>확인필요</t>
        </is>
      </c>
      <c r="M89" s="21" t="inlineStr">
        <is>
          <t>N</t>
        </is>
      </c>
      <c r="N89" s="24" t="inlineStr">
        <is>
          <t>높음</t>
        </is>
      </c>
      <c r="O89" s="25" t="inlineStr">
        <is>
          <t>씨앗(검증 전)</t>
        </is>
      </c>
      <c r="P89" s="22" t="inlineStr">
        <is>
          <t>https://www.youtube.com/results?search_query=%EB%A7%88%EB%A7%88%EB%AC%B4%20HIP</t>
        </is>
      </c>
      <c r="Q89" s="22" t="inlineStr">
        <is>
          <t>https://music.youtube.com/search?q=%EB%A7%88%EB%A7%88%EB%AC%B4%20HIP</t>
        </is>
      </c>
    </row>
    <row r="90" ht="15" customHeight="1" s="17">
      <c r="A90" s="21" t="inlineStr">
        <is>
          <t>S089</t>
        </is>
      </c>
      <c r="B90" s="22" t="inlineStr">
        <is>
          <t>ICY</t>
        </is>
      </c>
      <c r="C90" s="25" t="inlineStr">
        <is>
          <t>있지</t>
        </is>
      </c>
      <c r="D90" s="23" t="inlineStr">
        <is>
          <t>2019</t>
        </is>
      </c>
      <c r="E90" s="24" t="inlineStr">
        <is>
          <t>청량시원</t>
        </is>
      </c>
      <c r="F90" s="25" t="inlineStr">
        <is>
          <t>드라이브</t>
        </is>
      </c>
      <c r="G90" s="24" t="inlineStr">
        <is>
          <t>여돌</t>
        </is>
      </c>
      <c r="H90" s="22" t="n"/>
      <c r="I90" s="22">
        <f>IF($H95="","","https://youtu.be/"&amp;$H95)</f>
        <v/>
      </c>
      <c r="J90" s="22">
        <f>IF($H95="","","https://music.youtube.com/watch?v="&amp;$H95)</f>
        <v/>
      </c>
      <c r="K90" s="22">
        <f>IF($H95="","","https://img.youtube.com/vi/"&amp;$H95&amp;"/hqdefault.jpg")</f>
        <v/>
      </c>
      <c r="L90" s="24" t="inlineStr">
        <is>
          <t>확인필요</t>
        </is>
      </c>
      <c r="M90" s="21" t="inlineStr">
        <is>
          <t>N</t>
        </is>
      </c>
      <c r="N90" s="24" t="inlineStr">
        <is>
          <t>높음</t>
        </is>
      </c>
      <c r="O90" s="25" t="inlineStr">
        <is>
          <t>씨앗(검증 전)</t>
        </is>
      </c>
      <c r="P90" s="22" t="inlineStr">
        <is>
          <t>https://www.youtube.com/results?search_query=%EC%9E%88%EC%A7%80%20ICY</t>
        </is>
      </c>
      <c r="Q90" s="22" t="inlineStr">
        <is>
          <t>https://music.youtube.com/search?q=%EC%9E%88%EC%A7%80%20ICY</t>
        </is>
      </c>
    </row>
    <row r="91" ht="15" customHeight="1" s="17">
      <c r="A91" s="21" t="inlineStr">
        <is>
          <t>S090</t>
        </is>
      </c>
      <c r="B91" s="22" t="inlineStr">
        <is>
          <t>Tropical Love</t>
        </is>
      </c>
      <c r="C91" s="25" t="inlineStr">
        <is>
          <t>오마이걸</t>
        </is>
      </c>
      <c r="D91" s="23" t="inlineStr">
        <is>
          <t>2019</t>
        </is>
      </c>
      <c r="E91" s="24" t="inlineStr">
        <is>
          <t>청량시원</t>
        </is>
      </c>
      <c r="F91" s="25" t="inlineStr">
        <is>
          <t>바다</t>
        </is>
      </c>
      <c r="G91" s="24" t="inlineStr">
        <is>
          <t>여돌</t>
        </is>
      </c>
      <c r="H91" s="22" t="n"/>
      <c r="I91" s="22">
        <f>IF($H96="","","https://youtu.be/"&amp;$H96)</f>
        <v/>
      </c>
      <c r="J91" s="22">
        <f>IF($H96="","","https://music.youtube.com/watch?v="&amp;$H96)</f>
        <v/>
      </c>
      <c r="K91" s="22">
        <f>IF($H96="","","https://img.youtube.com/vi/"&amp;$H96&amp;"/hqdefault.jpg")</f>
        <v/>
      </c>
      <c r="L91" s="24" t="inlineStr">
        <is>
          <t>확인필요</t>
        </is>
      </c>
      <c r="M91" s="21" t="inlineStr">
        <is>
          <t>N</t>
        </is>
      </c>
      <c r="N91" s="24" t="inlineStr">
        <is>
          <t>높음</t>
        </is>
      </c>
      <c r="O91" s="25" t="inlineStr">
        <is>
          <t>씨앗(검증 전)</t>
        </is>
      </c>
      <c r="P91" s="22" t="inlineStr">
        <is>
          <t>https://www.youtube.com/results?search_query=%EC%98%A4%EB%A7%88%EC%9D%B4%EA%B1%B8%20Tropical%20Love</t>
        </is>
      </c>
      <c r="Q91" s="22" t="inlineStr">
        <is>
          <t>https://music.youtube.com/search?q=%EC%98%A4%EB%A7%88%EC%9D%B4%EA%B1%B8%20Tropical%20Love</t>
        </is>
      </c>
    </row>
    <row r="92" ht="15" customHeight="1" s="17">
      <c r="A92" s="21" t="inlineStr">
        <is>
          <t>S091</t>
        </is>
      </c>
      <c r="B92" s="22" t="inlineStr">
        <is>
          <t>Uh-Oh</t>
        </is>
      </c>
      <c r="C92" s="25" t="inlineStr">
        <is>
          <t>여자아이들</t>
        </is>
      </c>
      <c r="D92" s="23" t="inlineStr">
        <is>
          <t>2019</t>
        </is>
      </c>
      <c r="E92" s="24" t="inlineStr">
        <is>
          <t>청량시원</t>
        </is>
      </c>
      <c r="F92" s="25" t="inlineStr">
        <is>
          <t>바다, 드라이브</t>
        </is>
      </c>
      <c r="G92" s="24" t="inlineStr">
        <is>
          <t>여돌</t>
        </is>
      </c>
      <c r="H92" s="22" t="n"/>
      <c r="I92" s="22">
        <f>IF($H97="","","https://youtu.be/"&amp;$H97)</f>
        <v/>
      </c>
      <c r="J92" s="22">
        <f>IF($H97="","","https://music.youtube.com/watch?v="&amp;$H97)</f>
        <v/>
      </c>
      <c r="K92" s="22">
        <f>IF($H97="","","https://img.youtube.com/vi/"&amp;$H97&amp;"/hqdefault.jpg")</f>
        <v/>
      </c>
      <c r="L92" s="24" t="inlineStr">
        <is>
          <t>확인필요</t>
        </is>
      </c>
      <c r="M92" s="21" t="inlineStr">
        <is>
          <t>N</t>
        </is>
      </c>
      <c r="N92" s="24" t="inlineStr">
        <is>
          <t>높음</t>
        </is>
      </c>
      <c r="O92" s="25" t="inlineStr">
        <is>
          <t>씨앗(검증 전)</t>
        </is>
      </c>
      <c r="P92" s="22" t="inlineStr">
        <is>
          <t>https://www.youtube.com/results?search_query=%EC%97%AC%EC%9E%90%EC%95%84%EC%9D%B4%EB%93%A4%20Uh-Oh</t>
        </is>
      </c>
      <c r="Q92" s="22" t="inlineStr">
        <is>
          <t>https://music.youtube.com/search?q=%EC%97%AC%EC%9E%90%EC%95%84%EC%9D%B4%EB%93%A4%20Uh-Oh</t>
        </is>
      </c>
    </row>
    <row r="93" ht="15" customHeight="1" s="17">
      <c r="A93" s="21" t="inlineStr">
        <is>
          <t>S092</t>
        </is>
      </c>
      <c r="B93" s="25" t="inlineStr">
        <is>
          <t>열대야 (Fever)</t>
        </is>
      </c>
      <c r="C93" s="25" t="inlineStr">
        <is>
          <t>여자친구</t>
        </is>
      </c>
      <c r="D93" s="23" t="inlineStr">
        <is>
          <t>2019</t>
        </is>
      </c>
      <c r="E93" s="24" t="inlineStr">
        <is>
          <t>청량시원</t>
        </is>
      </c>
      <c r="F93" s="25" t="inlineStr">
        <is>
          <t>바다, 드라이브</t>
        </is>
      </c>
      <c r="G93" s="24" t="inlineStr">
        <is>
          <t>여돌</t>
        </is>
      </c>
      <c r="H93" s="22" t="n"/>
      <c r="I93" s="22">
        <f>IF($H98="","","https://youtu.be/"&amp;$H98)</f>
        <v/>
      </c>
      <c r="J93" s="22">
        <f>IF($H98="","","https://music.youtube.com/watch?v="&amp;$H98)</f>
        <v/>
      </c>
      <c r="K93" s="22">
        <f>IF($H98="","","https://img.youtube.com/vi/"&amp;$H98&amp;"/hqdefault.jpg")</f>
        <v/>
      </c>
      <c r="L93" s="24" t="inlineStr">
        <is>
          <t>확인필요</t>
        </is>
      </c>
      <c r="M93" s="21" t="inlineStr">
        <is>
          <t>N</t>
        </is>
      </c>
      <c r="N93" s="24" t="inlineStr">
        <is>
          <t>높음</t>
        </is>
      </c>
      <c r="O93" s="25" t="inlineStr">
        <is>
          <t>씨앗(검증 전)</t>
        </is>
      </c>
      <c r="P93" s="22" t="inlineStr">
        <is>
          <t>https://www.youtube.com/results?search_query=%EC%97%AC%EC%9E%90%EC%B9%9C%EA%B5%AC%20%EC%97%B4%EB%8C%80%EC%95%BC%20%28Fever%29</t>
        </is>
      </c>
      <c r="Q93" s="22" t="inlineStr">
        <is>
          <t>https://music.youtube.com/search?q=%EC%97%AC%EC%9E%90%EC%B9%9C%EA%B5%AC%20%EC%97%B4%EB%8C%80%EC%95%BC%20%28Fever%29</t>
        </is>
      </c>
    </row>
    <row r="94" ht="15" customHeight="1" s="17">
      <c r="A94" s="21" t="inlineStr">
        <is>
          <t>S093</t>
        </is>
      </c>
      <c r="B94" s="25" t="inlineStr">
        <is>
          <t>음파음파 (Umpah Umpah)</t>
        </is>
      </c>
      <c r="C94" s="25" t="inlineStr">
        <is>
          <t>레드벨벳</t>
        </is>
      </c>
      <c r="D94" s="23" t="inlineStr">
        <is>
          <t>2019</t>
        </is>
      </c>
      <c r="E94" s="24" t="inlineStr">
        <is>
          <t>청량시원</t>
        </is>
      </c>
      <c r="F94" s="25" t="inlineStr">
        <is>
          <t>드라이브</t>
        </is>
      </c>
      <c r="G94" s="24" t="inlineStr">
        <is>
          <t>여돌</t>
        </is>
      </c>
      <c r="H94" s="22" t="n"/>
      <c r="I94" s="22">
        <f>IF($H99="","","https://youtu.be/"&amp;$H99)</f>
        <v/>
      </c>
      <c r="J94" s="22">
        <f>IF($H99="","","https://music.youtube.com/watch?v="&amp;$H99)</f>
        <v/>
      </c>
      <c r="K94" s="22">
        <f>IF($H99="","","https://img.youtube.com/vi/"&amp;$H99&amp;"/hqdefault.jpg")</f>
        <v/>
      </c>
      <c r="L94" s="24" t="inlineStr">
        <is>
          <t>확인필요</t>
        </is>
      </c>
      <c r="M94" s="21" t="inlineStr">
        <is>
          <t>N</t>
        </is>
      </c>
      <c r="N94" s="24" t="inlineStr">
        <is>
          <t>높음</t>
        </is>
      </c>
      <c r="O94" s="25" t="inlineStr">
        <is>
          <t>씨앗(검증 전)</t>
        </is>
      </c>
      <c r="P94" s="22" t="inlineStr">
        <is>
          <t>https://www.youtube.com/results?search_query=%EB%A0%88%EB%93%9C%EB%B2%A8%EB%B2%B3%20%EC%9D%8C%ED%8C%8C%EC%9D%8C%ED%8C%8C%20%28Umpah%20Umpah%29</t>
        </is>
      </c>
      <c r="Q94" s="22" t="inlineStr">
        <is>
          <t>https://music.youtube.com/search?q=%EB%A0%88%EB%93%9C%EB%B2%A8%EB%B2%B3%20%EC%9D%8C%ED%8C%8C%EC%9D%8C%ED%8C%8C%20%28Umpah%20Umpah%29</t>
        </is>
      </c>
    </row>
    <row r="95" ht="15" customHeight="1" s="17">
      <c r="A95" s="21" t="inlineStr">
        <is>
          <t>S094</t>
        </is>
      </c>
      <c r="B95" s="22" t="inlineStr">
        <is>
          <t>BAAM</t>
        </is>
      </c>
      <c r="C95" s="25" t="inlineStr">
        <is>
          <t>모모랜드</t>
        </is>
      </c>
      <c r="D95" s="23" t="inlineStr">
        <is>
          <t>2018</t>
        </is>
      </c>
      <c r="E95" s="24" t="inlineStr">
        <is>
          <t>청량시원</t>
        </is>
      </c>
      <c r="F95" s="25" t="inlineStr">
        <is>
          <t>바다, 드라이브</t>
        </is>
      </c>
      <c r="G95" s="24" t="inlineStr">
        <is>
          <t>여돌</t>
        </is>
      </c>
      <c r="H95" s="22" t="n"/>
      <c r="I95" s="22">
        <f>IF($H100="","","https://youtu.be/"&amp;$H100)</f>
        <v/>
      </c>
      <c r="J95" s="22">
        <f>IF($H100="","","https://music.youtube.com/watch?v="&amp;$H100)</f>
        <v/>
      </c>
      <c r="K95" s="22">
        <f>IF($H100="","","https://img.youtube.com/vi/"&amp;$H100&amp;"/hqdefault.jpg")</f>
        <v/>
      </c>
      <c r="L95" s="24" t="inlineStr">
        <is>
          <t>확인필요</t>
        </is>
      </c>
      <c r="M95" s="21" t="inlineStr">
        <is>
          <t>N</t>
        </is>
      </c>
      <c r="N95" s="24" t="inlineStr">
        <is>
          <t>높음</t>
        </is>
      </c>
      <c r="O95" s="25" t="inlineStr">
        <is>
          <t>씨앗(검증 전)</t>
        </is>
      </c>
      <c r="P95" s="22" t="inlineStr">
        <is>
          <t>https://www.youtube.com/results?search_query=%EB%AA%A8%EB%AA%A8%EB%9E%9C%EB%93%9C%20BAAM</t>
        </is>
      </c>
      <c r="Q95" s="22" t="inlineStr">
        <is>
          <t>https://music.youtube.com/search?q=%EB%AA%A8%EB%AA%A8%EB%9E%9C%EB%93%9C%20BAAM</t>
        </is>
      </c>
    </row>
    <row r="96" ht="15" customHeight="1" s="17">
      <c r="A96" s="21" t="inlineStr">
        <is>
          <t>S095</t>
        </is>
      </c>
      <c r="B96" s="22" t="inlineStr">
        <is>
          <t>Dance The Night Away</t>
        </is>
      </c>
      <c r="C96" s="25" t="inlineStr">
        <is>
          <t>트와이스</t>
        </is>
      </c>
      <c r="D96" s="23" t="inlineStr">
        <is>
          <t>2018</t>
        </is>
      </c>
      <c r="E96" s="24" t="inlineStr">
        <is>
          <t>청량시원</t>
        </is>
      </c>
      <c r="F96" s="25" t="inlineStr">
        <is>
          <t>바다, 드라이브</t>
        </is>
      </c>
      <c r="G96" s="24" t="inlineStr">
        <is>
          <t>여돌</t>
        </is>
      </c>
      <c r="H96" s="22" t="n"/>
      <c r="I96" s="22">
        <f>IF($H101="","","https://youtu.be/"&amp;$H101)</f>
        <v/>
      </c>
      <c r="J96" s="22">
        <f>IF($H101="","","https://music.youtube.com/watch?v="&amp;$H101)</f>
        <v/>
      </c>
      <c r="K96" s="22">
        <f>IF($H101="","","https://img.youtube.com/vi/"&amp;$H101&amp;"/hqdefault.jpg")</f>
        <v/>
      </c>
      <c r="L96" s="24" t="inlineStr">
        <is>
          <t>확인필요</t>
        </is>
      </c>
      <c r="M96" s="21" t="inlineStr">
        <is>
          <t>N</t>
        </is>
      </c>
      <c r="N96" s="24" t="inlineStr">
        <is>
          <t>높음</t>
        </is>
      </c>
      <c r="O96" s="25" t="inlineStr">
        <is>
          <t>씨앗(검증 전)</t>
        </is>
      </c>
      <c r="P96" s="22" t="inlineStr">
        <is>
          <t>https://www.youtube.com/results?search_query=%ED%8A%B8%EC%99%80%EC%9D%B4%EC%8A%A4%20Dance%20The%20Night%20Away</t>
        </is>
      </c>
      <c r="Q96" s="22" t="inlineStr">
        <is>
          <t>https://music.youtube.com/search?q=%ED%8A%B8%EC%99%80%EC%9D%B4%EC%8A%A4%20Dance%20The%20Night%20Away</t>
        </is>
      </c>
    </row>
    <row r="97" ht="15" customHeight="1" s="17">
      <c r="A97" s="21" t="inlineStr">
        <is>
          <t>S096</t>
        </is>
      </c>
      <c r="B97" s="25" t="inlineStr">
        <is>
          <t>너나 해 (Egotistic)</t>
        </is>
      </c>
      <c r="C97" s="25" t="inlineStr">
        <is>
          <t>마마무</t>
        </is>
      </c>
      <c r="D97" s="23" t="inlineStr">
        <is>
          <t>2018</t>
        </is>
      </c>
      <c r="E97" s="24" t="inlineStr">
        <is>
          <t>청량시원</t>
        </is>
      </c>
      <c r="F97" s="25" t="inlineStr">
        <is>
          <t>바다</t>
        </is>
      </c>
      <c r="G97" s="24" t="inlineStr">
        <is>
          <t>여돌</t>
        </is>
      </c>
      <c r="H97" s="22" t="n"/>
      <c r="I97" s="22">
        <f>IF($H102="","","https://youtu.be/"&amp;$H102)</f>
        <v/>
      </c>
      <c r="J97" s="22">
        <f>IF($H102="","","https://music.youtube.com/watch?v="&amp;$H102)</f>
        <v/>
      </c>
      <c r="K97" s="22">
        <f>IF($H102="","","https://img.youtube.com/vi/"&amp;$H102&amp;"/hqdefault.jpg")</f>
        <v/>
      </c>
      <c r="L97" s="24" t="inlineStr">
        <is>
          <t>확인필요</t>
        </is>
      </c>
      <c r="M97" s="21" t="inlineStr">
        <is>
          <t>N</t>
        </is>
      </c>
      <c r="N97" s="24" t="inlineStr">
        <is>
          <t>높음</t>
        </is>
      </c>
      <c r="O97" s="25" t="inlineStr">
        <is>
          <t>씨앗(검증 전)</t>
        </is>
      </c>
      <c r="P97" s="22" t="inlineStr">
        <is>
          <t>https://www.youtube.com/results?search_query=%EB%A7%88%EB%A7%88%EB%AC%B4%20%EB%84%88%EB%82%98%20%ED%95%B4%20%28Egotistic%29</t>
        </is>
      </c>
      <c r="Q97" s="22" t="inlineStr">
        <is>
          <t>https://music.youtube.com/search?q=%EB%A7%88%EB%A7%88%EB%AC%B4%20%EB%84%88%EB%82%98%20%ED%95%B4%20%28Egotistic%29</t>
        </is>
      </c>
    </row>
    <row r="98" ht="15" customHeight="1" s="17">
      <c r="A98" s="21" t="inlineStr">
        <is>
          <t>S097</t>
        </is>
      </c>
      <c r="B98" s="25" t="inlineStr">
        <is>
          <t>뛰어(Run)</t>
        </is>
      </c>
      <c r="C98" s="25" t="inlineStr">
        <is>
          <t>여자아이들</t>
        </is>
      </c>
      <c r="D98" s="23" t="inlineStr">
        <is>
          <t>2018</t>
        </is>
      </c>
      <c r="E98" s="24" t="inlineStr">
        <is>
          <t>청량시원</t>
        </is>
      </c>
      <c r="F98" s="25" t="inlineStr">
        <is>
          <t>드라이브</t>
        </is>
      </c>
      <c r="G98" s="24" t="inlineStr">
        <is>
          <t>여돌</t>
        </is>
      </c>
      <c r="H98" s="22" t="n"/>
      <c r="I98" s="22">
        <f>IF($H103="","","https://youtu.be/"&amp;$H103)</f>
        <v/>
      </c>
      <c r="J98" s="22">
        <f>IF($H103="","","https://music.youtube.com/watch?v="&amp;$H103)</f>
        <v/>
      </c>
      <c r="K98" s="22">
        <f>IF($H103="","","https://img.youtube.com/vi/"&amp;$H103&amp;"/hqdefault.jpg")</f>
        <v/>
      </c>
      <c r="L98" s="24" t="inlineStr">
        <is>
          <t>확인필요</t>
        </is>
      </c>
      <c r="M98" s="21" t="inlineStr">
        <is>
          <t>N</t>
        </is>
      </c>
      <c r="N98" s="24" t="inlineStr">
        <is>
          <t>높음</t>
        </is>
      </c>
      <c r="O98" s="25" t="inlineStr">
        <is>
          <t>씨앗(검증 전)</t>
        </is>
      </c>
      <c r="P98" s="22" t="inlineStr">
        <is>
          <t>https://www.youtube.com/results?search_query=%EC%97%AC%EC%9E%90%EC%95%84%EC%9D%B4%EB%93%A4%20%EB%9B%B0%EC%96%B4%28Run%29</t>
        </is>
      </c>
      <c r="Q98" s="22" t="inlineStr">
        <is>
          <t>https://music.youtube.com/search?q=%EC%97%AC%EC%9E%90%EC%95%84%EC%9D%B4%EB%93%A4%20%EB%9B%B0%EC%96%B4%28Run%29</t>
        </is>
      </c>
    </row>
    <row r="99" ht="15" customHeight="1" s="17">
      <c r="A99" s="21" t="inlineStr">
        <is>
          <t>S098</t>
        </is>
      </c>
      <c r="B99" s="22" t="inlineStr">
        <is>
          <t>As If It's Your Last (마지막처럼)</t>
        </is>
      </c>
      <c r="C99" s="25" t="inlineStr">
        <is>
          <t>블랙핑크</t>
        </is>
      </c>
      <c r="D99" s="23" t="inlineStr">
        <is>
          <t>2017</t>
        </is>
      </c>
      <c r="E99" s="24" t="inlineStr">
        <is>
          <t>청량시원</t>
        </is>
      </c>
      <c r="F99" s="25" t="inlineStr">
        <is>
          <t>드라이브</t>
        </is>
      </c>
      <c r="G99" s="24" t="inlineStr">
        <is>
          <t>여돌</t>
        </is>
      </c>
      <c r="H99" s="22" t="n"/>
      <c r="I99" s="22">
        <f>IF($H105="","","https://youtu.be/"&amp;$H105)</f>
        <v/>
      </c>
      <c r="J99" s="22">
        <f>IF($H105="","","https://music.youtube.com/watch?v="&amp;$H105)</f>
        <v/>
      </c>
      <c r="K99" s="22">
        <f>IF($H105="","","https://img.youtube.com/vi/"&amp;$H105&amp;"/hqdefault.jpg")</f>
        <v/>
      </c>
      <c r="L99" s="24" t="inlineStr">
        <is>
          <t>확인필요</t>
        </is>
      </c>
      <c r="M99" s="21" t="inlineStr">
        <is>
          <t>N</t>
        </is>
      </c>
      <c r="N99" s="24" t="inlineStr">
        <is>
          <t>높음</t>
        </is>
      </c>
      <c r="O99" s="25" t="inlineStr">
        <is>
          <t>씨앗(검증 전)</t>
        </is>
      </c>
      <c r="P99" s="22" t="inlineStr">
        <is>
          <t>https://www.youtube.com/results?search_query=%EB%B8%94%EB%9E%99%ED%95%91%ED%81%AC%20As%20If%20It%27s%20Your%20Last%20%28%EB%A7%88%EC%A7%80%EB%A7%89%EC%B2%98%EB%9F%BC%29</t>
        </is>
      </c>
      <c r="Q99" s="22" t="inlineStr">
        <is>
          <t>https://music.youtube.com/search?q=%EB%B8%94%EB%9E%99%ED%95%91%ED%81%AC%20As%20If%20It%27s%20Your%20Last%20%28%EB%A7%88%EC%A7%80%EB%A7%89%EC%B2%98%EB%9F%BC%29</t>
        </is>
      </c>
    </row>
    <row r="100" ht="15" customHeight="1" s="17">
      <c r="A100" s="21" t="inlineStr">
        <is>
          <t>S099</t>
        </is>
      </c>
      <c r="B100" s="25" t="inlineStr">
        <is>
          <t>귀를 기울이면 (Love Whisper)</t>
        </is>
      </c>
      <c r="C100" s="25" t="inlineStr">
        <is>
          <t>여자친구</t>
        </is>
      </c>
      <c r="D100" s="23" t="inlineStr">
        <is>
          <t>2017</t>
        </is>
      </c>
      <c r="E100" s="24" t="inlineStr">
        <is>
          <t>청량시원</t>
        </is>
      </c>
      <c r="F100" s="25" t="inlineStr">
        <is>
          <t>바다</t>
        </is>
      </c>
      <c r="G100" s="24" t="inlineStr">
        <is>
          <t>여돌</t>
        </is>
      </c>
      <c r="H100" s="22" t="n"/>
      <c r="I100" s="22">
        <f>IF($H106="","","https://youtu.be/"&amp;$H106)</f>
        <v/>
      </c>
      <c r="J100" s="22">
        <f>IF($H106="","","https://music.youtube.com/watch?v="&amp;$H106)</f>
        <v/>
      </c>
      <c r="K100" s="22">
        <f>IF($H106="","","https://img.youtube.com/vi/"&amp;$H106&amp;"/hqdefault.jpg")</f>
        <v/>
      </c>
      <c r="L100" s="24" t="inlineStr">
        <is>
          <t>확인필요</t>
        </is>
      </c>
      <c r="M100" s="21" t="inlineStr">
        <is>
          <t>N</t>
        </is>
      </c>
      <c r="N100" s="24" t="inlineStr">
        <is>
          <t>높음</t>
        </is>
      </c>
      <c r="O100" s="25" t="inlineStr">
        <is>
          <t>씨앗(검증 전)</t>
        </is>
      </c>
      <c r="P100" s="22" t="inlineStr">
        <is>
          <t>https://www.youtube.com/results?search_query=%EC%97%AC%EC%9E%90%EC%B9%9C%EA%B5%AC%20%EA%B7%80%EB%A5%BC%20%EA%B8%B0%EC%9A%B8%EC%9D%B4%EB%A9%B4%20%28Love%20Whisper%29</t>
        </is>
      </c>
      <c r="Q100" s="22" t="inlineStr">
        <is>
          <t>https://music.youtube.com/search?q=%EC%97%AC%EC%9E%90%EC%B9%9C%EA%B5%AC%20%EA%B7%80%EB%A5%BC%20%EA%B8%B0%EC%9A%B8%EC%9D%B4%EB%A9%B4%20%28Love%20Whisper%29</t>
        </is>
      </c>
    </row>
    <row r="101" ht="15" customHeight="1" s="17">
      <c r="A101" s="21" t="inlineStr">
        <is>
          <t>S100</t>
        </is>
      </c>
      <c r="B101" s="25" t="inlineStr">
        <is>
          <t>덜덜덜 (DDD)</t>
        </is>
      </c>
      <c r="C101" s="22" t="inlineStr">
        <is>
          <t>EXID</t>
        </is>
      </c>
      <c r="D101" s="23" t="inlineStr">
        <is>
          <t>2017</t>
        </is>
      </c>
      <c r="E101" s="24" t="inlineStr">
        <is>
          <t>청량시원</t>
        </is>
      </c>
      <c r="F101" s="25" t="inlineStr">
        <is>
          <t>바다, 드라이브</t>
        </is>
      </c>
      <c r="G101" s="24" t="inlineStr">
        <is>
          <t>여돌</t>
        </is>
      </c>
      <c r="H101" s="22" t="n"/>
      <c r="I101" s="22">
        <f>IF($H107="","","https://youtu.be/"&amp;$H107)</f>
        <v/>
      </c>
      <c r="J101" s="22">
        <f>IF($H107="","","https://music.youtube.com/watch?v="&amp;$H107)</f>
        <v/>
      </c>
      <c r="K101" s="22">
        <f>IF($H107="","","https://img.youtube.com/vi/"&amp;$H107&amp;"/hqdefault.jpg")</f>
        <v/>
      </c>
      <c r="L101" s="24" t="inlineStr">
        <is>
          <t>확인필요</t>
        </is>
      </c>
      <c r="M101" s="21" t="inlineStr">
        <is>
          <t>N</t>
        </is>
      </c>
      <c r="N101" s="24" t="inlineStr">
        <is>
          <t>높음</t>
        </is>
      </c>
      <c r="O101" s="25" t="inlineStr">
        <is>
          <t>씨앗(검증 전)</t>
        </is>
      </c>
      <c r="P101" s="22" t="inlineStr">
        <is>
          <t>https://www.youtube.com/results?search_query=EXID%20%EB%8D%9C%EB%8D%9C%EB%8D%9C%20%28DDD%29</t>
        </is>
      </c>
      <c r="Q101" s="22" t="inlineStr">
        <is>
          <t>https://music.youtube.com/search?q=EXID%20%EB%8D%9C%EB%8D%9C%EB%8D%9C%20%28DDD%29</t>
        </is>
      </c>
    </row>
    <row r="102" ht="15" customHeight="1" s="17">
      <c r="A102" s="21" t="inlineStr">
        <is>
          <t>S101</t>
        </is>
      </c>
      <c r="B102" s="22" t="inlineStr">
        <is>
          <t>Why So Lonely</t>
        </is>
      </c>
      <c r="C102" s="25" t="inlineStr">
        <is>
          <t>원더걸스</t>
        </is>
      </c>
      <c r="D102" s="23" t="inlineStr">
        <is>
          <t>2016</t>
        </is>
      </c>
      <c r="E102" s="24" t="inlineStr">
        <is>
          <t>청량시원</t>
        </is>
      </c>
      <c r="F102" s="25" t="inlineStr">
        <is>
          <t>드라이브</t>
        </is>
      </c>
      <c r="G102" s="24" t="inlineStr">
        <is>
          <t>여돌</t>
        </is>
      </c>
      <c r="H102" s="22" t="n"/>
      <c r="I102" s="22">
        <f>IF($H110="","","https://youtu.be/"&amp;$H110)</f>
        <v/>
      </c>
      <c r="J102" s="22">
        <f>IF($H110="","","https://music.youtube.com/watch?v="&amp;$H110)</f>
        <v/>
      </c>
      <c r="K102" s="22">
        <f>IF($H110="","","https://img.youtube.com/vi/"&amp;$H110&amp;"/hqdefault.jpg")</f>
        <v/>
      </c>
      <c r="L102" s="24" t="inlineStr">
        <is>
          <t>확인필요</t>
        </is>
      </c>
      <c r="M102" s="21" t="inlineStr">
        <is>
          <t>N</t>
        </is>
      </c>
      <c r="N102" s="24" t="inlineStr">
        <is>
          <t>높음</t>
        </is>
      </c>
      <c r="O102" s="25" t="inlineStr">
        <is>
          <t>씨앗(검증 전)</t>
        </is>
      </c>
      <c r="P102" s="22" t="inlineStr">
        <is>
          <t>https://www.youtube.com/results?search_query=%EC%9B%90%EB%8D%94%EA%B1%B8%EC%8A%A4%20Why%20So%20Lonely</t>
        </is>
      </c>
      <c r="Q102" s="22" t="inlineStr">
        <is>
          <t>https://music.youtube.com/search?q=%EC%9B%90%EB%8D%94%EA%B1%B8%EC%8A%A4%20Why%20So%20Lonely</t>
        </is>
      </c>
    </row>
    <row r="103" ht="15" customHeight="1" s="17">
      <c r="A103" s="21" t="inlineStr">
        <is>
          <t>S102</t>
        </is>
      </c>
      <c r="B103" s="22" t="inlineStr">
        <is>
          <t>Windy Day</t>
        </is>
      </c>
      <c r="C103" s="25" t="inlineStr">
        <is>
          <t>오마이걸</t>
        </is>
      </c>
      <c r="D103" s="23" t="inlineStr">
        <is>
          <t>2016</t>
        </is>
      </c>
      <c r="E103" s="24" t="inlineStr">
        <is>
          <t>청량시원</t>
        </is>
      </c>
      <c r="F103" s="25" t="inlineStr">
        <is>
          <t>바다, 드라이브</t>
        </is>
      </c>
      <c r="G103" s="24" t="inlineStr">
        <is>
          <t>여돌</t>
        </is>
      </c>
      <c r="H103" s="22" t="n"/>
      <c r="I103" s="22">
        <f>IF($H111="","","https://youtu.be/"&amp;$H111)</f>
        <v/>
      </c>
      <c r="J103" s="22">
        <f>IF($H111="","","https://music.youtube.com/watch?v="&amp;$H111)</f>
        <v/>
      </c>
      <c r="K103" s="22">
        <f>IF($H111="","","https://img.youtube.com/vi/"&amp;$H111&amp;"/hqdefault.jpg")</f>
        <v/>
      </c>
      <c r="L103" s="24" t="inlineStr">
        <is>
          <t>확인필요</t>
        </is>
      </c>
      <c r="M103" s="21" t="inlineStr">
        <is>
          <t>N</t>
        </is>
      </c>
      <c r="N103" s="24" t="inlineStr">
        <is>
          <t>높음</t>
        </is>
      </c>
      <c r="O103" s="25" t="inlineStr">
        <is>
          <t>씨앗(검증 전)</t>
        </is>
      </c>
      <c r="P103" s="22" t="inlineStr">
        <is>
          <t>https://www.youtube.com/results?search_query=%EC%98%A4%EB%A7%88%EC%9D%B4%EA%B1%B8%20Windy%20Day</t>
        </is>
      </c>
      <c r="Q103" s="22" t="inlineStr">
        <is>
          <t>https://music.youtube.com/search?q=%EC%98%A4%EB%A7%88%EC%9D%B4%EA%B1%B8%20Windy%20Day</t>
        </is>
      </c>
    </row>
    <row r="104" ht="15" customHeight="1" s="17">
      <c r="A104" s="21" t="inlineStr">
        <is>
          <t>S103</t>
        </is>
      </c>
      <c r="B104" s="25" t="inlineStr">
        <is>
          <t>너 그리고 나 (NAVILLERA)</t>
        </is>
      </c>
      <c r="C104" s="25" t="inlineStr">
        <is>
          <t>여자친구</t>
        </is>
      </c>
      <c r="D104" s="23" t="inlineStr">
        <is>
          <t>2016</t>
        </is>
      </c>
      <c r="E104" s="24" t="inlineStr">
        <is>
          <t>청량시원</t>
        </is>
      </c>
      <c r="F104" s="25" t="inlineStr">
        <is>
          <t>바다, 드라이브</t>
        </is>
      </c>
      <c r="G104" s="24" t="inlineStr">
        <is>
          <t>여돌</t>
        </is>
      </c>
      <c r="H104" s="22" t="n"/>
      <c r="I104" s="22">
        <f>IF($H112="","","https://youtu.be/"&amp;$H112)</f>
        <v/>
      </c>
      <c r="J104" s="22">
        <f>IF($H112="","","https://music.youtube.com/watch?v="&amp;$H112)</f>
        <v/>
      </c>
      <c r="K104" s="22">
        <f>IF($H112="","","https://img.youtube.com/vi/"&amp;$H112&amp;"/hqdefault.jpg")</f>
        <v/>
      </c>
      <c r="L104" s="24" t="inlineStr">
        <is>
          <t>확인필요</t>
        </is>
      </c>
      <c r="M104" s="21" t="inlineStr">
        <is>
          <t>N</t>
        </is>
      </c>
      <c r="N104" s="24" t="inlineStr">
        <is>
          <t>높음</t>
        </is>
      </c>
      <c r="O104" s="25" t="inlineStr">
        <is>
          <t>씨앗(검증 전)</t>
        </is>
      </c>
      <c r="P104" s="22" t="inlineStr">
        <is>
          <t>https://www.youtube.com/results?search_query=%EC%97%AC%EC%9E%90%EC%B9%9C%EA%B5%AC%20%EB%84%88%20%EA%B7%B8%EB%A6%AC%EA%B3%A0%20%EB%82%98%20%28NAVILLERA%29</t>
        </is>
      </c>
      <c r="Q104" s="22" t="inlineStr">
        <is>
          <t>https://music.youtube.com/search?q=%EC%97%AC%EC%9E%90%EC%B9%9C%EA%B5%AC%20%EB%84%88%20%EA%B7%B8%EB%A6%AC%EA%B3%A0%20%EB%82%98%20%28NAVILLERA%29</t>
        </is>
      </c>
    </row>
    <row r="105" ht="15" customHeight="1" s="17">
      <c r="A105" s="21" t="inlineStr">
        <is>
          <t>S104</t>
        </is>
      </c>
      <c r="B105" s="25" t="inlineStr">
        <is>
          <t>싫어 (Hate)</t>
        </is>
      </c>
      <c r="C105" s="25" t="inlineStr">
        <is>
          <t>포미닛</t>
        </is>
      </c>
      <c r="D105" s="23" t="inlineStr">
        <is>
          <t>2016</t>
        </is>
      </c>
      <c r="E105" s="24" t="inlineStr">
        <is>
          <t>청량시원</t>
        </is>
      </c>
      <c r="F105" s="25" t="inlineStr">
        <is>
          <t>바다, 드라이브</t>
        </is>
      </c>
      <c r="G105" s="24" t="inlineStr">
        <is>
          <t>여돌</t>
        </is>
      </c>
      <c r="H105" s="22" t="n"/>
      <c r="I105" s="22">
        <f>IF($H113="","","https://youtu.be/"&amp;$H113)</f>
        <v/>
      </c>
      <c r="J105" s="22">
        <f>IF($H113="","","https://music.youtube.com/watch?v="&amp;$H113)</f>
        <v/>
      </c>
      <c r="K105" s="22">
        <f>IF($H113="","","https://img.youtube.com/vi/"&amp;$H113&amp;"/hqdefault.jpg")</f>
        <v/>
      </c>
      <c r="L105" s="24" t="inlineStr">
        <is>
          <t>확인필요</t>
        </is>
      </c>
      <c r="M105" s="21" t="inlineStr">
        <is>
          <t>N</t>
        </is>
      </c>
      <c r="N105" s="24" t="inlineStr">
        <is>
          <t>높음</t>
        </is>
      </c>
      <c r="O105" s="25" t="inlineStr">
        <is>
          <t>씨앗(검증 전)</t>
        </is>
      </c>
      <c r="P105" s="22" t="inlineStr">
        <is>
          <t>https://www.youtube.com/results?search_query=%ED%8F%AC%EB%AF%B8%EB%8B%9B%20%EC%8B%AB%EC%96%B4%20%28Hate%29</t>
        </is>
      </c>
      <c r="Q105" s="22" t="inlineStr">
        <is>
          <t>https://music.youtube.com/search?q=%ED%8F%AC%EB%AF%B8%EB%8B%9B%20%EC%8B%AB%EC%96%B4%20%28Hate%29</t>
        </is>
      </c>
    </row>
    <row r="106" ht="15" customHeight="1" s="17">
      <c r="A106" s="21" t="inlineStr">
        <is>
          <t>S105</t>
        </is>
      </c>
      <c r="B106" s="22" t="inlineStr">
        <is>
          <t>I Swear</t>
        </is>
      </c>
      <c r="C106" s="25" t="inlineStr">
        <is>
          <t>씨스타</t>
        </is>
      </c>
      <c r="D106" s="23" t="inlineStr">
        <is>
          <t>2014</t>
        </is>
      </c>
      <c r="E106" s="24" t="inlineStr">
        <is>
          <t>청량시원</t>
        </is>
      </c>
      <c r="F106" s="25" t="inlineStr">
        <is>
          <t>바다, 드라이브</t>
        </is>
      </c>
      <c r="G106" s="24" t="inlineStr">
        <is>
          <t>여돌</t>
        </is>
      </c>
      <c r="H106" s="22" t="n"/>
      <c r="I106" s="22">
        <f>IF($H119="","","https://youtu.be/"&amp;$H119)</f>
        <v/>
      </c>
      <c r="J106" s="22">
        <f>IF($H119="","","https://music.youtube.com/watch?v="&amp;$H119)</f>
        <v/>
      </c>
      <c r="K106" s="22">
        <f>IF($H119="","","https://img.youtube.com/vi/"&amp;$H119&amp;"/hqdefault.jpg")</f>
        <v/>
      </c>
      <c r="L106" s="24" t="inlineStr">
        <is>
          <t>확인필요</t>
        </is>
      </c>
      <c r="M106" s="21" t="inlineStr">
        <is>
          <t>N</t>
        </is>
      </c>
      <c r="N106" s="24" t="inlineStr">
        <is>
          <t>높음</t>
        </is>
      </c>
      <c r="O106" s="25" t="inlineStr">
        <is>
          <t>씨앗(검증 전)</t>
        </is>
      </c>
      <c r="P106" s="22" t="inlineStr">
        <is>
          <t>https://www.youtube.com/results?search_query=%EC%94%A8%EC%8A%A4%ED%83%80%20I%20Swear</t>
        </is>
      </c>
      <c r="Q106" s="22" t="inlineStr">
        <is>
          <t>https://music.youtube.com/search?q=%EC%94%A8%EC%8A%A4%ED%83%80%20I%20Swear</t>
        </is>
      </c>
    </row>
    <row r="107" ht="15" customHeight="1" s="17">
      <c r="A107" s="21" t="inlineStr">
        <is>
          <t>S106</t>
        </is>
      </c>
      <c r="B107" s="22" t="inlineStr">
        <is>
          <t>Mr.Mr.</t>
        </is>
      </c>
      <c r="C107" s="25" t="inlineStr">
        <is>
          <t>소녀시대</t>
        </is>
      </c>
      <c r="D107" s="23" t="inlineStr">
        <is>
          <t>2014</t>
        </is>
      </c>
      <c r="E107" s="24" t="inlineStr">
        <is>
          <t>청량시원</t>
        </is>
      </c>
      <c r="F107" s="25" t="inlineStr">
        <is>
          <t>바다, 드라이브</t>
        </is>
      </c>
      <c r="G107" s="24" t="inlineStr">
        <is>
          <t>여돌</t>
        </is>
      </c>
      <c r="H107" s="22" t="n"/>
      <c r="I107" s="22">
        <f>IF($H120="","","https://youtu.be/"&amp;$H120)</f>
        <v/>
      </c>
      <c r="J107" s="22">
        <f>IF($H120="","","https://music.youtube.com/watch?v="&amp;$H120)</f>
        <v/>
      </c>
      <c r="K107" s="22">
        <f>IF($H120="","","https://img.youtube.com/vi/"&amp;$H120&amp;"/hqdefault.jpg")</f>
        <v/>
      </c>
      <c r="L107" s="24" t="inlineStr">
        <is>
          <t>확인필요</t>
        </is>
      </c>
      <c r="M107" s="21" t="inlineStr">
        <is>
          <t>N</t>
        </is>
      </c>
      <c r="N107" s="24" t="inlineStr">
        <is>
          <t>높음</t>
        </is>
      </c>
      <c r="O107" s="25" t="inlineStr">
        <is>
          <t>씨앗(검증 전)</t>
        </is>
      </c>
      <c r="P107" s="22" t="inlineStr">
        <is>
          <t>https://www.youtube.com/results?search_query=%EC%86%8C%EB%85%80%EC%8B%9C%EB%8C%80%20Mr.Mr.</t>
        </is>
      </c>
      <c r="Q107" s="22" t="inlineStr">
        <is>
          <t>https://music.youtube.com/search?q=%EC%86%8C%EB%85%80%EC%8B%9C%EB%8C%80%20Mr.Mr.</t>
        </is>
      </c>
    </row>
    <row r="108" ht="15" customHeight="1" s="17">
      <c r="A108" s="21" t="inlineStr">
        <is>
          <t>S107</t>
        </is>
      </c>
      <c r="B108" s="22" t="inlineStr">
        <is>
          <t>Touch My Body</t>
        </is>
      </c>
      <c r="C108" s="25" t="inlineStr">
        <is>
          <t>씨스타</t>
        </is>
      </c>
      <c r="D108" s="23" t="inlineStr">
        <is>
          <t>2014</t>
        </is>
      </c>
      <c r="E108" s="24" t="inlineStr">
        <is>
          <t>청량시원</t>
        </is>
      </c>
      <c r="F108" s="25" t="inlineStr">
        <is>
          <t>드라이브</t>
        </is>
      </c>
      <c r="G108" s="24" t="inlineStr">
        <is>
          <t>여돌</t>
        </is>
      </c>
      <c r="H108" s="22" t="n"/>
      <c r="I108" s="22">
        <f>IF($H121="","","https://youtu.be/"&amp;$H121)</f>
        <v/>
      </c>
      <c r="J108" s="22">
        <f>IF($H121="","","https://music.youtube.com/watch?v="&amp;$H121)</f>
        <v/>
      </c>
      <c r="K108" s="22">
        <f>IF($H121="","","https://img.youtube.com/vi/"&amp;$H121&amp;"/hqdefault.jpg")</f>
        <v/>
      </c>
      <c r="L108" s="24" t="inlineStr">
        <is>
          <t>확인필요</t>
        </is>
      </c>
      <c r="M108" s="21" t="inlineStr">
        <is>
          <t>N</t>
        </is>
      </c>
      <c r="N108" s="24" t="inlineStr">
        <is>
          <t>높음</t>
        </is>
      </c>
      <c r="O108" s="25" t="inlineStr">
        <is>
          <t>씨앗(검증 전)</t>
        </is>
      </c>
      <c r="P108" s="22" t="inlineStr">
        <is>
          <t>https://www.youtube.com/results?search_query=%EC%94%A8%EC%8A%A4%ED%83%80%20Touch%20My%20Body</t>
        </is>
      </c>
      <c r="Q108" s="22" t="inlineStr">
        <is>
          <t>https://music.youtube.com/search?q=%EC%94%A8%EC%8A%A4%ED%83%80%20Touch%20My%20Body</t>
        </is>
      </c>
    </row>
    <row r="109" ht="15" customHeight="1" s="17">
      <c r="A109" s="21" t="inlineStr">
        <is>
          <t>S108</t>
        </is>
      </c>
      <c r="B109" s="25" t="inlineStr">
        <is>
          <t>좋아요 (Like a Cat)</t>
        </is>
      </c>
      <c r="C109" s="22" t="inlineStr">
        <is>
          <t>AOA</t>
        </is>
      </c>
      <c r="D109" s="23" t="inlineStr">
        <is>
          <t>2014</t>
        </is>
      </c>
      <c r="E109" s="24" t="inlineStr">
        <is>
          <t>청량시원</t>
        </is>
      </c>
      <c r="F109" s="25" t="inlineStr">
        <is>
          <t>바다, 드라이브</t>
        </is>
      </c>
      <c r="G109" s="24" t="inlineStr">
        <is>
          <t>여돌</t>
        </is>
      </c>
      <c r="H109" s="22" t="n"/>
      <c r="I109" s="22">
        <f>IF($H122="","","https://youtu.be/"&amp;$H122)</f>
        <v/>
      </c>
      <c r="J109" s="22">
        <f>IF($H122="","","https://music.youtube.com/watch?v="&amp;$H122)</f>
        <v/>
      </c>
      <c r="K109" s="22">
        <f>IF($H122="","","https://img.youtube.com/vi/"&amp;$H122&amp;"/hqdefault.jpg")</f>
        <v/>
      </c>
      <c r="L109" s="24" t="inlineStr">
        <is>
          <t>확인필요</t>
        </is>
      </c>
      <c r="M109" s="21" t="inlineStr">
        <is>
          <t>N</t>
        </is>
      </c>
      <c r="N109" s="24" t="inlineStr">
        <is>
          <t>높음</t>
        </is>
      </c>
      <c r="O109" s="25" t="inlineStr">
        <is>
          <t>씨앗(검증 전)</t>
        </is>
      </c>
      <c r="P109" s="22" t="inlineStr">
        <is>
          <t>https://www.youtube.com/results?search_query=AOA%20%EC%A2%8B%EC%95%84%EC%9A%94%20%28Like%20a%20Cat%29</t>
        </is>
      </c>
      <c r="Q109" s="22" t="inlineStr">
        <is>
          <t>https://music.youtube.com/search?q=AOA%20%EC%A2%8B%EC%95%84%EC%9A%94%20%28Like%20a%20Cat%29</t>
        </is>
      </c>
    </row>
    <row r="110" ht="15" customHeight="1" s="17">
      <c r="A110" s="21" t="inlineStr">
        <is>
          <t>S109</t>
        </is>
      </c>
      <c r="B110" s="25" t="inlineStr">
        <is>
          <t>기대해 (Expect)</t>
        </is>
      </c>
      <c r="C110" s="25" t="inlineStr">
        <is>
          <t>걸스데이</t>
        </is>
      </c>
      <c r="D110" s="23" t="inlineStr">
        <is>
          <t>2013</t>
        </is>
      </c>
      <c r="E110" s="24" t="inlineStr">
        <is>
          <t>청량시원</t>
        </is>
      </c>
      <c r="F110" s="25" t="inlineStr">
        <is>
          <t>바다</t>
        </is>
      </c>
      <c r="G110" s="24" t="inlineStr">
        <is>
          <t>여돌</t>
        </is>
      </c>
      <c r="H110" s="22" t="n"/>
      <c r="I110" s="22">
        <f>IF($H123="","","https://youtu.be/"&amp;$H123)</f>
        <v/>
      </c>
      <c r="J110" s="22">
        <f>IF($H123="","","https://music.youtube.com/watch?v="&amp;$H123)</f>
        <v/>
      </c>
      <c r="K110" s="22">
        <f>IF($H123="","","https://img.youtube.com/vi/"&amp;$H123&amp;"/hqdefault.jpg")</f>
        <v/>
      </c>
      <c r="L110" s="24" t="inlineStr">
        <is>
          <t>확인필요</t>
        </is>
      </c>
      <c r="M110" s="21" t="inlineStr">
        <is>
          <t>N</t>
        </is>
      </c>
      <c r="N110" s="24" t="inlineStr">
        <is>
          <t>높음</t>
        </is>
      </c>
      <c r="O110" s="25" t="inlineStr">
        <is>
          <t>씨앗(검증 전)</t>
        </is>
      </c>
      <c r="P110" s="22" t="inlineStr">
        <is>
          <t>https://www.youtube.com/results?search_query=%EA%B1%B8%EC%8A%A4%EB%8D%B0%EC%9D%B4%20%EA%B8%B0%EB%8C%80%ED%95%B4%20%28Expect%29</t>
        </is>
      </c>
      <c r="Q110" s="22" t="inlineStr">
        <is>
          <t>https://music.youtube.com/search?q=%EA%B1%B8%EC%8A%A4%EB%8D%B0%EC%9D%B4%20%EA%B8%B0%EB%8C%80%ED%95%B4%20%28Expect%29</t>
        </is>
      </c>
    </row>
    <row r="111" ht="15" customHeight="1" s="17">
      <c r="A111" s="21" t="inlineStr">
        <is>
          <t>S110</t>
        </is>
      </c>
      <c r="B111" s="22" t="inlineStr">
        <is>
          <t>Loving U (러빙유)</t>
        </is>
      </c>
      <c r="C111" s="25" t="inlineStr">
        <is>
          <t>씨스타</t>
        </is>
      </c>
      <c r="D111" s="23" t="inlineStr">
        <is>
          <t>2012</t>
        </is>
      </c>
      <c r="E111" s="24" t="inlineStr">
        <is>
          <t>청량시원</t>
        </is>
      </c>
      <c r="F111" s="25" t="inlineStr">
        <is>
          <t>바다</t>
        </is>
      </c>
      <c r="G111" s="24" t="inlineStr">
        <is>
          <t>여돌</t>
        </is>
      </c>
      <c r="H111" s="22" t="n"/>
      <c r="I111" s="22">
        <f>IF($H124="","","https://youtu.be/"&amp;$H124)</f>
        <v/>
      </c>
      <c r="J111" s="22">
        <f>IF($H124="","","https://music.youtube.com/watch?v="&amp;$H124)</f>
        <v/>
      </c>
      <c r="K111" s="22">
        <f>IF($H124="","","https://img.youtube.com/vi/"&amp;$H124&amp;"/hqdefault.jpg")</f>
        <v/>
      </c>
      <c r="L111" s="24" t="inlineStr">
        <is>
          <t>확인필요</t>
        </is>
      </c>
      <c r="M111" s="21" t="inlineStr">
        <is>
          <t>N</t>
        </is>
      </c>
      <c r="N111" s="24" t="inlineStr">
        <is>
          <t>높음</t>
        </is>
      </c>
      <c r="O111" s="25" t="inlineStr">
        <is>
          <t>씨앗(검증 전)</t>
        </is>
      </c>
      <c r="P111" s="22" t="inlineStr">
        <is>
          <t>https://www.youtube.com/results?search_query=%EC%94%A8%EC%8A%A4%ED%83%80%20Loving%20U%20%28%EB%9F%AC%EB%B9%99%EC%9C%A0%29</t>
        </is>
      </c>
      <c r="Q111" s="22" t="inlineStr">
        <is>
          <t>https://music.youtube.com/search?q=%EC%94%A8%EC%8A%A4%ED%83%80%20Loving%20U%20%28%EB%9F%AC%EB%B9%99%EC%9C%A0%29</t>
        </is>
      </c>
    </row>
    <row r="112" ht="15" customHeight="1" s="17">
      <c r="A112" s="21" t="inlineStr">
        <is>
          <t>S111</t>
        </is>
      </c>
      <c r="B112" s="22" t="inlineStr">
        <is>
          <t>Pandora</t>
        </is>
      </c>
      <c r="C112" s="25" t="inlineStr">
        <is>
          <t>카라</t>
        </is>
      </c>
      <c r="D112" s="23" t="inlineStr">
        <is>
          <t>2012</t>
        </is>
      </c>
      <c r="E112" s="24" t="inlineStr">
        <is>
          <t>청량시원</t>
        </is>
      </c>
      <c r="F112" s="25" t="inlineStr">
        <is>
          <t>드라이브</t>
        </is>
      </c>
      <c r="G112" s="24" t="inlineStr">
        <is>
          <t>여돌</t>
        </is>
      </c>
      <c r="H112" s="22" t="n"/>
      <c r="I112" s="22">
        <f>IF($H125="","","https://youtu.be/"&amp;$H125)</f>
        <v/>
      </c>
      <c r="J112" s="22">
        <f>IF($H125="","","https://music.youtube.com/watch?v="&amp;$H125)</f>
        <v/>
      </c>
      <c r="K112" s="22">
        <f>IF($H125="","","https://img.youtube.com/vi/"&amp;$H125&amp;"/hqdefault.jpg")</f>
        <v/>
      </c>
      <c r="L112" s="24" t="inlineStr">
        <is>
          <t>확인필요</t>
        </is>
      </c>
      <c r="M112" s="21" t="inlineStr">
        <is>
          <t>N</t>
        </is>
      </c>
      <c r="N112" s="24" t="inlineStr">
        <is>
          <t>높음</t>
        </is>
      </c>
      <c r="O112" s="25" t="inlineStr">
        <is>
          <t>씨앗(검증 전)</t>
        </is>
      </c>
      <c r="P112" s="22" t="inlineStr">
        <is>
          <t>https://www.youtube.com/results?search_query=%EC%B9%B4%EB%9D%BC%20Pandora</t>
        </is>
      </c>
      <c r="Q112" s="22" t="inlineStr">
        <is>
          <t>https://music.youtube.com/search?q=%EC%B9%B4%EB%9D%BC%20Pandora</t>
        </is>
      </c>
    </row>
    <row r="113" ht="15" customHeight="1" s="17">
      <c r="A113" s="21" t="inlineStr">
        <is>
          <t>S112</t>
        </is>
      </c>
      <c r="B113" s="22" t="inlineStr">
        <is>
          <t>Sexy Love</t>
        </is>
      </c>
      <c r="C113" s="25" t="inlineStr">
        <is>
          <t>티아라</t>
        </is>
      </c>
      <c r="D113" s="23" t="inlineStr">
        <is>
          <t>2012</t>
        </is>
      </c>
      <c r="E113" s="24" t="inlineStr">
        <is>
          <t>청량시원</t>
        </is>
      </c>
      <c r="F113" s="25" t="inlineStr">
        <is>
          <t>바다, 드라이브</t>
        </is>
      </c>
      <c r="G113" s="24" t="inlineStr">
        <is>
          <t>여돌</t>
        </is>
      </c>
      <c r="H113" s="22" t="n"/>
      <c r="I113" s="22">
        <f>IF($H126="","","https://youtu.be/"&amp;$H126)</f>
        <v/>
      </c>
      <c r="J113" s="22">
        <f>IF($H126="","","https://music.youtube.com/watch?v="&amp;$H126)</f>
        <v/>
      </c>
      <c r="K113" s="22">
        <f>IF($H126="","","https://img.youtube.com/vi/"&amp;$H126&amp;"/hqdefault.jpg")</f>
        <v/>
      </c>
      <c r="L113" s="24" t="inlineStr">
        <is>
          <t>확인필요</t>
        </is>
      </c>
      <c r="M113" s="21" t="inlineStr">
        <is>
          <t>N</t>
        </is>
      </c>
      <c r="N113" s="24" t="inlineStr">
        <is>
          <t>높음</t>
        </is>
      </c>
      <c r="O113" s="25" t="inlineStr">
        <is>
          <t>씨앗(검증 전)</t>
        </is>
      </c>
      <c r="P113" s="22" t="inlineStr">
        <is>
          <t>https://www.youtube.com/results?search_query=%ED%8B%B0%EC%95%84%EB%9D%BC%20Sexy%20Love</t>
        </is>
      </c>
      <c r="Q113" s="22" t="inlineStr">
        <is>
          <t>https://music.youtube.com/search?q=%ED%8B%B0%EC%95%84%EB%9D%BC%20Sexy%20Love</t>
        </is>
      </c>
    </row>
    <row r="114" ht="15" customHeight="1" s="17">
      <c r="A114" s="21" t="inlineStr">
        <is>
          <t>S113</t>
        </is>
      </c>
      <c r="B114" s="22" t="inlineStr">
        <is>
          <t>Bubble Gum</t>
        </is>
      </c>
      <c r="C114" s="22" t="inlineStr">
        <is>
          <t>NewJeans</t>
        </is>
      </c>
      <c r="D114" s="23" t="inlineStr">
        <is>
          <t>2024</t>
        </is>
      </c>
      <c r="E114" s="24" t="inlineStr">
        <is>
          <t>설렘두근</t>
        </is>
      </c>
      <c r="F114" s="25" t="inlineStr">
        <is>
          <t>밤바다</t>
        </is>
      </c>
      <c r="G114" s="24" t="inlineStr">
        <is>
          <t>여돌</t>
        </is>
      </c>
      <c r="H114" s="22" t="n"/>
      <c r="I114" s="22">
        <f>IF($H133="","","https://youtu.be/"&amp;$H133)</f>
        <v/>
      </c>
      <c r="J114" s="22">
        <f>IF($H133="","","https://music.youtube.com/watch?v="&amp;$H133)</f>
        <v/>
      </c>
      <c r="K114" s="22">
        <f>IF($H133="","","https://img.youtube.com/vi/"&amp;$H133&amp;"/hqdefault.jpg")</f>
        <v/>
      </c>
      <c r="L114" s="24" t="inlineStr">
        <is>
          <t>확인필요</t>
        </is>
      </c>
      <c r="M114" s="21" t="inlineStr">
        <is>
          <t>N</t>
        </is>
      </c>
      <c r="N114" s="24" t="inlineStr">
        <is>
          <t>높음</t>
        </is>
      </c>
      <c r="O114" s="25" t="inlineStr">
        <is>
          <t>씨앗(검증 전)</t>
        </is>
      </c>
      <c r="P114" s="22" t="inlineStr">
        <is>
          <t>https://www.youtube.com/results?search_query=NewJeans%20Bubble%20Gum</t>
        </is>
      </c>
      <c r="Q114" s="22" t="inlineStr">
        <is>
          <t>https://music.youtube.com/search?q=NewJeans%20Bubble%20Gum</t>
        </is>
      </c>
    </row>
    <row r="115" ht="15" customHeight="1" s="17">
      <c r="A115" s="21" t="inlineStr">
        <is>
          <t>S114</t>
        </is>
      </c>
      <c r="B115" s="22" t="inlineStr">
        <is>
          <t>Off The Record</t>
        </is>
      </c>
      <c r="C115" s="22" t="inlineStr">
        <is>
          <t>IVE</t>
        </is>
      </c>
      <c r="D115" s="23" t="inlineStr">
        <is>
          <t>2023</t>
        </is>
      </c>
      <c r="E115" s="24" t="inlineStr">
        <is>
          <t>설렘두근</t>
        </is>
      </c>
      <c r="F115" s="25" t="inlineStr">
        <is>
          <t>밤바다</t>
        </is>
      </c>
      <c r="G115" s="24" t="inlineStr">
        <is>
          <t>여돌</t>
        </is>
      </c>
      <c r="H115" s="22" t="n"/>
      <c r="I115" s="22">
        <f>IF($H134="","","https://youtu.be/"&amp;$H134)</f>
        <v/>
      </c>
      <c r="J115" s="22">
        <f>IF($H134="","","https://music.youtube.com/watch?v="&amp;$H134)</f>
        <v/>
      </c>
      <c r="K115" s="22">
        <f>IF($H134="","","https://img.youtube.com/vi/"&amp;$H134&amp;"/hqdefault.jpg")</f>
        <v/>
      </c>
      <c r="L115" s="24" t="inlineStr">
        <is>
          <t>확인필요</t>
        </is>
      </c>
      <c r="M115" s="21" t="inlineStr">
        <is>
          <t>N</t>
        </is>
      </c>
      <c r="N115" s="24" t="inlineStr">
        <is>
          <t>높음</t>
        </is>
      </c>
      <c r="O115" s="25" t="inlineStr">
        <is>
          <t>씨앗(검증 전)</t>
        </is>
      </c>
      <c r="P115" s="22" t="inlineStr">
        <is>
          <t>https://www.youtube.com/results?search_query=IVE%20Off%20The%20Record</t>
        </is>
      </c>
      <c r="Q115" s="22" t="inlineStr">
        <is>
          <t>https://music.youtube.com/search?q=IVE%20Off%20The%20Record</t>
        </is>
      </c>
    </row>
    <row r="116" ht="15" customHeight="1" s="17">
      <c r="A116" s="21" t="inlineStr">
        <is>
          <t>S115</t>
        </is>
      </c>
      <c r="B116" s="22" t="inlineStr">
        <is>
          <t>Perfect Night</t>
        </is>
      </c>
      <c r="C116" s="25" t="inlineStr">
        <is>
          <t>르세라핌</t>
        </is>
      </c>
      <c r="D116" s="23" t="inlineStr">
        <is>
          <t>2023</t>
        </is>
      </c>
      <c r="E116" s="24" t="inlineStr">
        <is>
          <t>설렘두근</t>
        </is>
      </c>
      <c r="F116" s="25" t="inlineStr">
        <is>
          <t>밤바다</t>
        </is>
      </c>
      <c r="G116" s="24" t="inlineStr">
        <is>
          <t>여돌</t>
        </is>
      </c>
      <c r="H116" s="22" t="n"/>
      <c r="I116" s="22">
        <f>IF($H135="","","https://youtu.be/"&amp;$H135)</f>
        <v/>
      </c>
      <c r="J116" s="22">
        <f>IF($H135="","","https://music.youtube.com/watch?v="&amp;$H135)</f>
        <v/>
      </c>
      <c r="K116" s="22">
        <f>IF($H135="","","https://img.youtube.com/vi/"&amp;$H135&amp;"/hqdefault.jpg")</f>
        <v/>
      </c>
      <c r="L116" s="24" t="inlineStr">
        <is>
          <t>확인필요</t>
        </is>
      </c>
      <c r="M116" s="21" t="inlineStr">
        <is>
          <t>N</t>
        </is>
      </c>
      <c r="N116" s="24" t="inlineStr">
        <is>
          <t>높음</t>
        </is>
      </c>
      <c r="O116" s="25" t="inlineStr">
        <is>
          <t>씨앗(검증 전)</t>
        </is>
      </c>
      <c r="P116" s="22" t="inlineStr">
        <is>
          <t>https://www.youtube.com/results?search_query=%EB%A5%B4%EC%84%B8%EB%9D%BC%ED%95%8C%20Perfect%20Night</t>
        </is>
      </c>
      <c r="Q116" s="22" t="inlineStr">
        <is>
          <t>https://music.youtube.com/search?q=%EB%A5%B4%EC%84%B8%EB%9D%BC%ED%95%8C%20Perfect%20Night</t>
        </is>
      </c>
    </row>
    <row r="117" ht="15" customHeight="1" s="17">
      <c r="A117" s="21" t="inlineStr">
        <is>
          <t>S116</t>
        </is>
      </c>
      <c r="B117" s="22" t="inlineStr">
        <is>
          <t>Super Shy</t>
        </is>
      </c>
      <c r="C117" s="22" t="inlineStr">
        <is>
          <t>NewJeans</t>
        </is>
      </c>
      <c r="D117" s="23" t="inlineStr">
        <is>
          <t>2023</t>
        </is>
      </c>
      <c r="E117" s="24" t="inlineStr">
        <is>
          <t>설렘두근</t>
        </is>
      </c>
      <c r="F117" s="25" t="inlineStr">
        <is>
          <t>밤바다</t>
        </is>
      </c>
      <c r="G117" s="24" t="inlineStr">
        <is>
          <t>여돌</t>
        </is>
      </c>
      <c r="H117" s="22" t="n"/>
      <c r="I117" s="22">
        <f>IF($H136="","","https://youtu.be/"&amp;$H136)</f>
        <v/>
      </c>
      <c r="J117" s="22">
        <f>IF($H136="","","https://music.youtube.com/watch?v="&amp;$H136)</f>
        <v/>
      </c>
      <c r="K117" s="22">
        <f>IF($H136="","","https://img.youtube.com/vi/"&amp;$H136&amp;"/hqdefault.jpg")</f>
        <v/>
      </c>
      <c r="L117" s="24" t="inlineStr">
        <is>
          <t>확인필요</t>
        </is>
      </c>
      <c r="M117" s="21" t="inlineStr">
        <is>
          <t>N</t>
        </is>
      </c>
      <c r="N117" s="24" t="inlineStr">
        <is>
          <t>높음</t>
        </is>
      </c>
      <c r="O117" s="25" t="inlineStr">
        <is>
          <t>씨앗(검증 전)</t>
        </is>
      </c>
      <c r="P117" s="22" t="inlineStr">
        <is>
          <t>https://www.youtube.com/results?search_query=NewJeans%20Super%20Shy</t>
        </is>
      </c>
      <c r="Q117" s="22" t="inlineStr">
        <is>
          <t>https://music.youtube.com/search?q=NewJeans%20Super%20Shy</t>
        </is>
      </c>
    </row>
    <row r="118" ht="15" customHeight="1" s="17">
      <c r="A118" s="21" t="inlineStr">
        <is>
          <t>S117</t>
        </is>
      </c>
      <c r="B118" s="22" t="inlineStr">
        <is>
          <t>Attention</t>
        </is>
      </c>
      <c r="C118" s="22" t="inlineStr">
        <is>
          <t>NewJeans</t>
        </is>
      </c>
      <c r="D118" s="23" t="inlineStr">
        <is>
          <t>2022</t>
        </is>
      </c>
      <c r="E118" s="24" t="inlineStr">
        <is>
          <t>설렘두근</t>
        </is>
      </c>
      <c r="F118" s="25" t="inlineStr">
        <is>
          <t>밤바다, 드라이브</t>
        </is>
      </c>
      <c r="G118" s="24" t="inlineStr">
        <is>
          <t>여돌</t>
        </is>
      </c>
      <c r="H118" s="22" t="n"/>
      <c r="I118" s="22">
        <f>IF($H137="","","https://youtu.be/"&amp;$H137)</f>
        <v/>
      </c>
      <c r="J118" s="22">
        <f>IF($H137="","","https://music.youtube.com/watch?v="&amp;$H137)</f>
        <v/>
      </c>
      <c r="K118" s="22">
        <f>IF($H137="","","https://img.youtube.com/vi/"&amp;$H137&amp;"/hqdefault.jpg")</f>
        <v/>
      </c>
      <c r="L118" s="24" t="inlineStr">
        <is>
          <t>확인필요</t>
        </is>
      </c>
      <c r="M118" s="21" t="inlineStr">
        <is>
          <t>N</t>
        </is>
      </c>
      <c r="N118" s="24" t="inlineStr">
        <is>
          <t>높음</t>
        </is>
      </c>
      <c r="O118" s="25" t="inlineStr">
        <is>
          <t>씨앗(검증 전)</t>
        </is>
      </c>
      <c r="P118" s="22" t="inlineStr">
        <is>
          <t>https://www.youtube.com/results?search_query=NewJeans%20Attention</t>
        </is>
      </c>
      <c r="Q118" s="22" t="inlineStr">
        <is>
          <t>https://music.youtube.com/search?q=NewJeans%20Attention</t>
        </is>
      </c>
    </row>
    <row r="119" ht="15" customHeight="1" s="17">
      <c r="A119" s="21" t="inlineStr">
        <is>
          <t>S118</t>
        </is>
      </c>
      <c r="B119" s="22" t="inlineStr">
        <is>
          <t>DM</t>
        </is>
      </c>
      <c r="C119" s="25" t="inlineStr">
        <is>
          <t>프로미스나인</t>
        </is>
      </c>
      <c r="D119" s="23" t="inlineStr">
        <is>
          <t>2022</t>
        </is>
      </c>
      <c r="E119" s="24" t="inlineStr">
        <is>
          <t>설렘두근</t>
        </is>
      </c>
      <c r="F119" s="25" t="inlineStr">
        <is>
          <t>밤바다, 드라이브</t>
        </is>
      </c>
      <c r="G119" s="24" t="inlineStr">
        <is>
          <t>여돌</t>
        </is>
      </c>
      <c r="H119" s="22" t="n"/>
      <c r="I119" s="22">
        <f>IF($H138="","","https://youtu.be/"&amp;$H138)</f>
        <v/>
      </c>
      <c r="J119" s="22">
        <f>IF($H138="","","https://music.youtube.com/watch?v="&amp;$H138)</f>
        <v/>
      </c>
      <c r="K119" s="22">
        <f>IF($H138="","","https://img.youtube.com/vi/"&amp;$H138&amp;"/hqdefault.jpg")</f>
        <v/>
      </c>
      <c r="L119" s="24" t="inlineStr">
        <is>
          <t>확인필요</t>
        </is>
      </c>
      <c r="M119" s="21" t="inlineStr">
        <is>
          <t>N</t>
        </is>
      </c>
      <c r="N119" s="24" t="inlineStr">
        <is>
          <t>높음</t>
        </is>
      </c>
      <c r="O119" s="25" t="inlineStr">
        <is>
          <t>씨앗(검증 전)</t>
        </is>
      </c>
      <c r="P119" s="22" t="inlineStr">
        <is>
          <t>https://www.youtube.com/results?search_query=%ED%94%84%EB%A1%9C%EB%AF%B8%EC%8A%A4%EB%82%98%EC%9D%B8%20DM</t>
        </is>
      </c>
      <c r="Q119" s="22" t="inlineStr">
        <is>
          <t>https://music.youtube.com/search?q=%ED%94%84%EB%A1%9C%EB%AF%B8%EC%8A%A4%EB%82%98%EC%9D%B8%20DM</t>
        </is>
      </c>
    </row>
    <row r="120" ht="15" customHeight="1" s="17">
      <c r="A120" s="21" t="inlineStr">
        <is>
          <t>S119</t>
        </is>
      </c>
      <c r="B120" s="22" t="inlineStr">
        <is>
          <t>Dreams Come True</t>
        </is>
      </c>
      <c r="C120" s="22" t="inlineStr">
        <is>
          <t>aespa</t>
        </is>
      </c>
      <c r="D120" s="23" t="inlineStr">
        <is>
          <t>2022</t>
        </is>
      </c>
      <c r="E120" s="24" t="inlineStr">
        <is>
          <t>설렘두근</t>
        </is>
      </c>
      <c r="F120" s="25" t="inlineStr">
        <is>
          <t>밤바다, 드라이브</t>
        </is>
      </c>
      <c r="G120" s="24" t="inlineStr">
        <is>
          <t>여돌</t>
        </is>
      </c>
      <c r="H120" s="22" t="n"/>
      <c r="I120" s="22">
        <f>IF($H139="","","https://youtu.be/"&amp;$H139)</f>
        <v/>
      </c>
      <c r="J120" s="22">
        <f>IF($H139="","","https://music.youtube.com/watch?v="&amp;$H139)</f>
        <v/>
      </c>
      <c r="K120" s="22">
        <f>IF($H139="","","https://img.youtube.com/vi/"&amp;$H139&amp;"/hqdefault.jpg")</f>
        <v/>
      </c>
      <c r="L120" s="24" t="inlineStr">
        <is>
          <t>확인필요</t>
        </is>
      </c>
      <c r="M120" s="21" t="inlineStr">
        <is>
          <t>N</t>
        </is>
      </c>
      <c r="N120" s="24" t="inlineStr">
        <is>
          <t>높음</t>
        </is>
      </c>
      <c r="O120" s="25" t="inlineStr">
        <is>
          <t>씨앗(검증 전)</t>
        </is>
      </c>
      <c r="P120" s="22" t="inlineStr">
        <is>
          <t>https://www.youtube.com/results?search_query=aespa%20Dreams%20Come%20True</t>
        </is>
      </c>
      <c r="Q120" s="22" t="inlineStr">
        <is>
          <t>https://music.youtube.com/search?q=aespa%20Dreams%20Come%20True</t>
        </is>
      </c>
    </row>
    <row r="121" ht="15" customHeight="1" s="17">
      <c r="A121" s="21" t="inlineStr">
        <is>
          <t>S120</t>
        </is>
      </c>
      <c r="B121" s="22" t="inlineStr">
        <is>
          <t>Hype Boy</t>
        </is>
      </c>
      <c r="C121" s="22" t="inlineStr">
        <is>
          <t>NewJeans</t>
        </is>
      </c>
      <c r="D121" s="23" t="inlineStr">
        <is>
          <t>2022</t>
        </is>
      </c>
      <c r="E121" s="24" t="inlineStr">
        <is>
          <t>설렘두근</t>
        </is>
      </c>
      <c r="F121" s="25" t="inlineStr">
        <is>
          <t>밤바다</t>
        </is>
      </c>
      <c r="G121" s="24" t="inlineStr">
        <is>
          <t>여돌</t>
        </is>
      </c>
      <c r="H121" s="22" t="n"/>
      <c r="I121" s="22">
        <f>IF($H140="","","https://youtu.be/"&amp;$H140)</f>
        <v/>
      </c>
      <c r="J121" s="22">
        <f>IF($H140="","","https://music.youtube.com/watch?v="&amp;$H140)</f>
        <v/>
      </c>
      <c r="K121" s="22">
        <f>IF($H140="","","https://img.youtube.com/vi/"&amp;$H140&amp;"/hqdefault.jpg")</f>
        <v/>
      </c>
      <c r="L121" s="24" t="inlineStr">
        <is>
          <t>확인필요</t>
        </is>
      </c>
      <c r="M121" s="21" t="inlineStr">
        <is>
          <t>N</t>
        </is>
      </c>
      <c r="N121" s="24" t="inlineStr">
        <is>
          <t>높음</t>
        </is>
      </c>
      <c r="O121" s="25" t="inlineStr">
        <is>
          <t>씨앗(검증 전)</t>
        </is>
      </c>
      <c r="P121" s="22" t="inlineStr">
        <is>
          <t>https://www.youtube.com/results?search_query=NewJeans%20Hype%20Boy</t>
        </is>
      </c>
      <c r="Q121" s="22" t="inlineStr">
        <is>
          <t>https://music.youtube.com/search?q=NewJeans%20Hype%20Boy</t>
        </is>
      </c>
    </row>
    <row r="122" ht="15" customHeight="1" s="17">
      <c r="A122" s="21" t="inlineStr">
        <is>
          <t>S121</t>
        </is>
      </c>
      <c r="B122" s="22" t="inlineStr">
        <is>
          <t>LOVE DIVE</t>
        </is>
      </c>
      <c r="C122" s="22" t="inlineStr">
        <is>
          <t>IVE</t>
        </is>
      </c>
      <c r="D122" s="23" t="inlineStr">
        <is>
          <t>2022</t>
        </is>
      </c>
      <c r="E122" s="24" t="inlineStr">
        <is>
          <t>설렘두근</t>
        </is>
      </c>
      <c r="F122" s="25" t="inlineStr">
        <is>
          <t>밤바다, 드라이브</t>
        </is>
      </c>
      <c r="G122" s="24" t="inlineStr">
        <is>
          <t>여돌</t>
        </is>
      </c>
      <c r="H122" s="22" t="n"/>
      <c r="I122" s="22">
        <f>IF($H141="","","https://youtu.be/"&amp;$H141)</f>
        <v/>
      </c>
      <c r="J122" s="22">
        <f>IF($H141="","","https://music.youtube.com/watch?v="&amp;$H141)</f>
        <v/>
      </c>
      <c r="K122" s="22">
        <f>IF($H141="","","https://img.youtube.com/vi/"&amp;$H141&amp;"/hqdefault.jpg")</f>
        <v/>
      </c>
      <c r="L122" s="24" t="inlineStr">
        <is>
          <t>확인필요</t>
        </is>
      </c>
      <c r="M122" s="21" t="inlineStr">
        <is>
          <t>N</t>
        </is>
      </c>
      <c r="N122" s="24" t="inlineStr">
        <is>
          <t>높음</t>
        </is>
      </c>
      <c r="O122" s="25" t="inlineStr">
        <is>
          <t>씨앗(검증 전)</t>
        </is>
      </c>
      <c r="P122" s="22" t="inlineStr">
        <is>
          <t>https://www.youtube.com/results?search_query=IVE%20LOVE%20DIVE</t>
        </is>
      </c>
      <c r="Q122" s="22" t="inlineStr">
        <is>
          <t>https://music.youtube.com/search?q=IVE%20LOVE%20DIVE</t>
        </is>
      </c>
    </row>
    <row r="123" ht="15" customHeight="1" s="17">
      <c r="A123" s="21" t="inlineStr">
        <is>
          <t>S122</t>
        </is>
      </c>
      <c r="B123" s="22" t="inlineStr">
        <is>
          <t>ELEVEN</t>
        </is>
      </c>
      <c r="C123" s="22" t="inlineStr">
        <is>
          <t>IVE</t>
        </is>
      </c>
      <c r="D123" s="23" t="inlineStr">
        <is>
          <t>2021</t>
        </is>
      </c>
      <c r="E123" s="24" t="inlineStr">
        <is>
          <t>설렘두근</t>
        </is>
      </c>
      <c r="F123" s="25" t="inlineStr">
        <is>
          <t>밤바다</t>
        </is>
      </c>
      <c r="G123" s="24" t="inlineStr">
        <is>
          <t>여돌</t>
        </is>
      </c>
      <c r="H123" s="22" t="n"/>
      <c r="I123" s="22">
        <f>IF($H142="","","https://youtu.be/"&amp;$H142)</f>
        <v/>
      </c>
      <c r="J123" s="22">
        <f>IF($H142="","","https://music.youtube.com/watch?v="&amp;$H142)</f>
        <v/>
      </c>
      <c r="K123" s="22">
        <f>IF($H142="","","https://img.youtube.com/vi/"&amp;$H142&amp;"/hqdefault.jpg")</f>
        <v/>
      </c>
      <c r="L123" s="24" t="inlineStr">
        <is>
          <t>확인필요</t>
        </is>
      </c>
      <c r="M123" s="21" t="inlineStr">
        <is>
          <t>N</t>
        </is>
      </c>
      <c r="N123" s="24" t="inlineStr">
        <is>
          <t>높음</t>
        </is>
      </c>
      <c r="O123" s="25" t="inlineStr">
        <is>
          <t>씨앗(검증 전)</t>
        </is>
      </c>
      <c r="P123" s="22" t="inlineStr">
        <is>
          <t>https://www.youtube.com/results?search_query=IVE%20ELEVEN</t>
        </is>
      </c>
      <c r="Q123" s="22" t="inlineStr">
        <is>
          <t>https://music.youtube.com/search?q=IVE%20ELEVEN</t>
        </is>
      </c>
    </row>
    <row r="124" ht="15" customHeight="1" s="17">
      <c r="A124" s="21" t="inlineStr">
        <is>
          <t>S123</t>
        </is>
      </c>
      <c r="B124" s="22" t="inlineStr">
        <is>
          <t>Stereotype (색안경)</t>
        </is>
      </c>
      <c r="C124" s="22" t="inlineStr">
        <is>
          <t>STAYC</t>
        </is>
      </c>
      <c r="D124" s="23" t="inlineStr">
        <is>
          <t>2021</t>
        </is>
      </c>
      <c r="E124" s="24" t="inlineStr">
        <is>
          <t>설렘두근</t>
        </is>
      </c>
      <c r="F124" s="25" t="inlineStr">
        <is>
          <t>밤바다</t>
        </is>
      </c>
      <c r="G124" s="24" t="inlineStr">
        <is>
          <t>여돌</t>
        </is>
      </c>
      <c r="H124" s="22" t="n"/>
      <c r="I124" s="22">
        <f>IF($H143="","","https://youtu.be/"&amp;$H143)</f>
        <v/>
      </c>
      <c r="J124" s="22">
        <f>IF($H143="","","https://music.youtube.com/watch?v="&amp;$H143)</f>
        <v/>
      </c>
      <c r="K124" s="22">
        <f>IF($H143="","","https://img.youtube.com/vi/"&amp;$H143&amp;"/hqdefault.jpg")</f>
        <v/>
      </c>
      <c r="L124" s="24" t="inlineStr">
        <is>
          <t>확인필요</t>
        </is>
      </c>
      <c r="M124" s="21" t="inlineStr">
        <is>
          <t>N</t>
        </is>
      </c>
      <c r="N124" s="24" t="inlineStr">
        <is>
          <t>높음</t>
        </is>
      </c>
      <c r="O124" s="25" t="inlineStr">
        <is>
          <t>씨앗(검증 전)</t>
        </is>
      </c>
      <c r="P124" s="22" t="inlineStr">
        <is>
          <t>https://www.youtube.com/results?search_query=STAYC%20Stereotype%20%28%EC%83%89%EC%95%88%EA%B2%BD%29</t>
        </is>
      </c>
      <c r="Q124" s="22" t="inlineStr">
        <is>
          <t>https://music.youtube.com/search?q=STAYC%20Stereotype%20%28%EC%83%89%EC%95%88%EA%B2%BD%29</t>
        </is>
      </c>
    </row>
    <row r="125" ht="15" customHeight="1" s="17">
      <c r="A125" s="21" t="inlineStr">
        <is>
          <t>S124</t>
        </is>
      </c>
      <c r="B125" s="22" t="inlineStr">
        <is>
          <t>The Feels</t>
        </is>
      </c>
      <c r="C125" s="25" t="inlineStr">
        <is>
          <t>트와이스</t>
        </is>
      </c>
      <c r="D125" s="23" t="inlineStr">
        <is>
          <t>2021</t>
        </is>
      </c>
      <c r="E125" s="24" t="inlineStr">
        <is>
          <t>설렘두근</t>
        </is>
      </c>
      <c r="F125" s="25" t="inlineStr">
        <is>
          <t>밤바다</t>
        </is>
      </c>
      <c r="G125" s="24" t="inlineStr">
        <is>
          <t>여돌</t>
        </is>
      </c>
      <c r="H125" s="22" t="n"/>
      <c r="I125" s="22">
        <f>IF($H144="","","https://youtu.be/"&amp;$H144)</f>
        <v/>
      </c>
      <c r="J125" s="22">
        <f>IF($H144="","","https://music.youtube.com/watch?v="&amp;$H144)</f>
        <v/>
      </c>
      <c r="K125" s="22">
        <f>IF($H144="","","https://img.youtube.com/vi/"&amp;$H144&amp;"/hqdefault.jpg")</f>
        <v/>
      </c>
      <c r="L125" s="24" t="inlineStr">
        <is>
          <t>확인필요</t>
        </is>
      </c>
      <c r="M125" s="21" t="inlineStr">
        <is>
          <t>N</t>
        </is>
      </c>
      <c r="N125" s="24" t="inlineStr">
        <is>
          <t>높음</t>
        </is>
      </c>
      <c r="O125" s="25" t="inlineStr">
        <is>
          <t>씨앗(검증 전)</t>
        </is>
      </c>
      <c r="P125" s="22" t="inlineStr">
        <is>
          <t>https://www.youtube.com/results?search_query=%ED%8A%B8%EC%99%80%EC%9D%B4%EC%8A%A4%20The%20Feels</t>
        </is>
      </c>
      <c r="Q125" s="22" t="inlineStr">
        <is>
          <t>https://music.youtube.com/search?q=%ED%8A%B8%EC%99%80%EC%9D%B4%EC%8A%A4%20The%20Feels</t>
        </is>
      </c>
    </row>
    <row r="126" ht="15" customHeight="1" s="17">
      <c r="A126" s="21" t="inlineStr">
        <is>
          <t>S125</t>
        </is>
      </c>
      <c r="B126" s="22" t="inlineStr">
        <is>
          <t>BUNGEE (Fall in Love)</t>
        </is>
      </c>
      <c r="C126" s="25" t="inlineStr">
        <is>
          <t>오마이걸</t>
        </is>
      </c>
      <c r="D126" s="23" t="inlineStr">
        <is>
          <t>2019</t>
        </is>
      </c>
      <c r="E126" s="24" t="inlineStr">
        <is>
          <t>설렘두근</t>
        </is>
      </c>
      <c r="F126" s="25" t="inlineStr">
        <is>
          <t>밤바다, 드라이브</t>
        </is>
      </c>
      <c r="G126" s="24" t="inlineStr">
        <is>
          <t>여돌</t>
        </is>
      </c>
      <c r="H126" s="22" t="n"/>
      <c r="I126" s="22">
        <f>IF($H145="","","https://youtu.be/"&amp;$H145)</f>
        <v/>
      </c>
      <c r="J126" s="22">
        <f>IF($H145="","","https://music.youtube.com/watch?v="&amp;$H145)</f>
        <v/>
      </c>
      <c r="K126" s="22">
        <f>IF($H145="","","https://img.youtube.com/vi/"&amp;$H145&amp;"/hqdefault.jpg")</f>
        <v/>
      </c>
      <c r="L126" s="24" t="inlineStr">
        <is>
          <t>확인필요</t>
        </is>
      </c>
      <c r="M126" s="21" t="inlineStr">
        <is>
          <t>N</t>
        </is>
      </c>
      <c r="N126" s="24" t="inlineStr">
        <is>
          <t>높음</t>
        </is>
      </c>
      <c r="O126" s="25" t="inlineStr">
        <is>
          <t>씨앗(검증 전)</t>
        </is>
      </c>
      <c r="P126" s="22" t="inlineStr">
        <is>
          <t>https://www.youtube.com/results?search_query=%EC%98%A4%EB%A7%88%EC%9D%B4%EA%B1%B8%20BUNGEE%20%28Fall%20in%20Love%29</t>
        </is>
      </c>
      <c r="Q126" s="22" t="inlineStr">
        <is>
          <t>https://music.youtube.com/search?q=%EC%98%A4%EB%A7%88%EC%9D%B4%EA%B1%B8%20BUNGEE%20%28Fall%20in%20Love%29</t>
        </is>
      </c>
    </row>
    <row r="127" ht="15" customHeight="1" s="17">
      <c r="A127" s="21" t="inlineStr">
        <is>
          <t>S126</t>
        </is>
      </c>
      <c r="B127" s="25" t="inlineStr">
        <is>
          <t>이루리 (As You Wish)</t>
        </is>
      </c>
      <c r="C127" s="25" t="inlineStr">
        <is>
          <t>우주소녀</t>
        </is>
      </c>
      <c r="D127" s="23" t="inlineStr">
        <is>
          <t>2019</t>
        </is>
      </c>
      <c r="E127" s="24" t="inlineStr">
        <is>
          <t>설렘두근</t>
        </is>
      </c>
      <c r="F127" s="25" t="inlineStr">
        <is>
          <t>밤바다</t>
        </is>
      </c>
      <c r="G127" s="24" t="inlineStr">
        <is>
          <t>여돌</t>
        </is>
      </c>
      <c r="H127" s="22" t="n"/>
      <c r="I127" s="22">
        <f>IF($H146="","","https://youtu.be/"&amp;$H146)</f>
        <v/>
      </c>
      <c r="J127" s="22">
        <f>IF($H146="","","https://music.youtube.com/watch?v="&amp;$H146)</f>
        <v/>
      </c>
      <c r="K127" s="22">
        <f>IF($H146="","","https://img.youtube.com/vi/"&amp;$H146&amp;"/hqdefault.jpg")</f>
        <v/>
      </c>
      <c r="L127" s="24" t="inlineStr">
        <is>
          <t>확인필요</t>
        </is>
      </c>
      <c r="M127" s="21" t="inlineStr">
        <is>
          <t>N</t>
        </is>
      </c>
      <c r="N127" s="24" t="inlineStr">
        <is>
          <t>높음</t>
        </is>
      </c>
      <c r="O127" s="25" t="inlineStr">
        <is>
          <t>씨앗(검증 전)</t>
        </is>
      </c>
      <c r="P127" s="22" t="inlineStr">
        <is>
          <t>https://www.youtube.com/results?search_query=%EC%9A%B0%EC%A3%BC%EC%86%8C%EB%85%80%20%EC%9D%B4%EB%A3%A8%EB%A6%AC%20%28As%20You%20Wish%29</t>
        </is>
      </c>
      <c r="Q127" s="22" t="inlineStr">
        <is>
          <t>https://music.youtube.com/search?q=%EC%9A%B0%EC%A3%BC%EC%86%8C%EB%85%80%20%EC%9D%B4%EB%A3%A8%EB%A6%AC%20%28As%20You%20Wish%29</t>
        </is>
      </c>
    </row>
    <row r="128" ht="15" customHeight="1" s="17">
      <c r="A128" s="21" t="inlineStr">
        <is>
          <t>S127</t>
        </is>
      </c>
      <c r="B128" s="22" t="inlineStr">
        <is>
          <t>What is Love?</t>
        </is>
      </c>
      <c r="C128" s="25" t="inlineStr">
        <is>
          <t>트와이스</t>
        </is>
      </c>
      <c r="D128" s="23" t="inlineStr">
        <is>
          <t>2018</t>
        </is>
      </c>
      <c r="E128" s="24" t="inlineStr">
        <is>
          <t>설렘두근</t>
        </is>
      </c>
      <c r="F128" s="25" t="inlineStr">
        <is>
          <t>밤바다</t>
        </is>
      </c>
      <c r="G128" s="24" t="inlineStr">
        <is>
          <t>여돌</t>
        </is>
      </c>
      <c r="H128" s="22" t="n"/>
      <c r="I128" s="22">
        <f>IF($H147="","","https://youtu.be/"&amp;$H147)</f>
        <v/>
      </c>
      <c r="J128" s="22">
        <f>IF($H147="","","https://music.youtube.com/watch?v="&amp;$H147)</f>
        <v/>
      </c>
      <c r="K128" s="22">
        <f>IF($H147="","","https://img.youtube.com/vi/"&amp;$H147&amp;"/hqdefault.jpg")</f>
        <v/>
      </c>
      <c r="L128" s="24" t="inlineStr">
        <is>
          <t>확인필요</t>
        </is>
      </c>
      <c r="M128" s="21" t="inlineStr">
        <is>
          <t>N</t>
        </is>
      </c>
      <c r="N128" s="24" t="inlineStr">
        <is>
          <t>높음</t>
        </is>
      </c>
      <c r="O128" s="25" t="inlineStr">
        <is>
          <t>씨앗(검증 전)</t>
        </is>
      </c>
      <c r="P128" s="22" t="inlineStr">
        <is>
          <t>https://www.youtube.com/results?search_query=%ED%8A%B8%EC%99%80%EC%9D%B4%EC%8A%A4%20What%20is%20Love%3F</t>
        </is>
      </c>
      <c r="Q128" s="22" t="inlineStr">
        <is>
          <t>https://music.youtube.com/search?q=%ED%8A%B8%EC%99%80%EC%9D%B4%EC%8A%A4%20What%20is%20Love%3F</t>
        </is>
      </c>
    </row>
    <row r="129" ht="15" customHeight="1" s="17">
      <c r="A129" s="21" t="inlineStr">
        <is>
          <t>S128</t>
        </is>
      </c>
      <c r="B129" s="25" t="inlineStr">
        <is>
          <t>너를 만나 (Rainbow)</t>
        </is>
      </c>
      <c r="C129" s="25" t="inlineStr">
        <is>
          <t>여자친구</t>
        </is>
      </c>
      <c r="D129" s="23" t="inlineStr">
        <is>
          <t>2018</t>
        </is>
      </c>
      <c r="E129" s="24" t="inlineStr">
        <is>
          <t>설렘두근</t>
        </is>
      </c>
      <c r="F129" s="25" t="inlineStr">
        <is>
          <t>밤바다, 드라이브</t>
        </is>
      </c>
      <c r="G129" s="24" t="inlineStr">
        <is>
          <t>여돌</t>
        </is>
      </c>
      <c r="H129" s="22" t="n"/>
      <c r="I129" s="22">
        <f>IF($H148="","","https://youtu.be/"&amp;$H148)</f>
        <v/>
      </c>
      <c r="J129" s="22">
        <f>IF($H148="","","https://music.youtube.com/watch?v="&amp;$H148)</f>
        <v/>
      </c>
      <c r="K129" s="22">
        <f>IF($H148="","","https://img.youtube.com/vi/"&amp;$H148&amp;"/hqdefault.jpg")</f>
        <v/>
      </c>
      <c r="L129" s="24" t="inlineStr">
        <is>
          <t>확인필요</t>
        </is>
      </c>
      <c r="M129" s="21" t="inlineStr">
        <is>
          <t>N</t>
        </is>
      </c>
      <c r="N129" s="24" t="inlineStr">
        <is>
          <t>높음</t>
        </is>
      </c>
      <c r="O129" s="25" t="inlineStr">
        <is>
          <t>씨앗(검증 전)</t>
        </is>
      </c>
      <c r="P129" s="22" t="inlineStr">
        <is>
          <t>https://www.youtube.com/results?search_query=%EC%97%AC%EC%9E%90%EC%B9%9C%EA%B5%AC%20%EB%84%88%EB%A5%BC%20%EB%A7%8C%EB%82%98%20%28Rainbow%29</t>
        </is>
      </c>
      <c r="Q129" s="22" t="inlineStr">
        <is>
          <t>https://music.youtube.com/search?q=%EC%97%AC%EC%9E%90%EC%B9%9C%EA%B5%AC%20%EB%84%88%EB%A5%BC%20%EB%A7%8C%EB%82%98%20%28Rainbow%29</t>
        </is>
      </c>
    </row>
    <row r="130" ht="15" customHeight="1" s="17">
      <c r="A130" s="21" t="inlineStr">
        <is>
          <t>S129</t>
        </is>
      </c>
      <c r="B130" s="22" t="inlineStr">
        <is>
          <t>Destiny (나의 지구)</t>
        </is>
      </c>
      <c r="C130" s="25" t="inlineStr">
        <is>
          <t>러블리즈</t>
        </is>
      </c>
      <c r="D130" s="23" t="inlineStr">
        <is>
          <t>2016</t>
        </is>
      </c>
      <c r="E130" s="24" t="inlineStr">
        <is>
          <t>설렘두근</t>
        </is>
      </c>
      <c r="F130" s="25" t="inlineStr">
        <is>
          <t>밤바다</t>
        </is>
      </c>
      <c r="G130" s="24" t="inlineStr">
        <is>
          <t>여돌</t>
        </is>
      </c>
      <c r="H130" s="22" t="n"/>
      <c r="I130" s="22">
        <f>IF($H151="","","https://youtu.be/"&amp;$H151)</f>
        <v/>
      </c>
      <c r="J130" s="22">
        <f>IF($H151="","","https://music.youtube.com/watch?v="&amp;$H151)</f>
        <v/>
      </c>
      <c r="K130" s="22">
        <f>IF($H151="","","https://img.youtube.com/vi/"&amp;$H151&amp;"/hqdefault.jpg")</f>
        <v/>
      </c>
      <c r="L130" s="24" t="inlineStr">
        <is>
          <t>확인필요</t>
        </is>
      </c>
      <c r="M130" s="21" t="inlineStr">
        <is>
          <t>N</t>
        </is>
      </c>
      <c r="N130" s="24" t="inlineStr">
        <is>
          <t>높음</t>
        </is>
      </c>
      <c r="O130" s="25" t="inlineStr">
        <is>
          <t>씨앗(검증 전)</t>
        </is>
      </c>
      <c r="P130" s="22" t="inlineStr">
        <is>
          <t>https://www.youtube.com/results?search_query=%EB%9F%AC%EB%B8%94%EB%A6%AC%EC%A6%88%20Destiny%20%28%EB%82%98%EC%9D%98%20%EC%A7%80%EA%B5%AC%29</t>
        </is>
      </c>
      <c r="Q130" s="22" t="inlineStr">
        <is>
          <t>https://music.youtube.com/search?q=%EB%9F%AC%EB%B8%94%EB%A6%AC%EC%A6%88%20Destiny%20%28%EB%82%98%EC%9D%98%20%EC%A7%80%EA%B5%AC%29</t>
        </is>
      </c>
    </row>
    <row r="131" ht="15" customHeight="1" s="17">
      <c r="A131" s="21" t="inlineStr">
        <is>
          <t>S130</t>
        </is>
      </c>
      <c r="B131" s="25" t="inlineStr">
        <is>
          <t>위아래 (Up &amp; Down)</t>
        </is>
      </c>
      <c r="C131" s="22" t="inlineStr">
        <is>
          <t>EXID</t>
        </is>
      </c>
      <c r="D131" s="23" t="inlineStr">
        <is>
          <t>2014</t>
        </is>
      </c>
      <c r="E131" s="24" t="inlineStr">
        <is>
          <t>설렘두근</t>
        </is>
      </c>
      <c r="F131" s="25" t="inlineStr">
        <is>
          <t>밤바다</t>
        </is>
      </c>
      <c r="G131" s="24" t="inlineStr">
        <is>
          <t>여돌</t>
        </is>
      </c>
      <c r="H131" s="22" t="n"/>
      <c r="I131" s="22">
        <f>IF($H157="","","https://youtu.be/"&amp;$H157)</f>
        <v/>
      </c>
      <c r="J131" s="22">
        <f>IF($H157="","","https://music.youtube.com/watch?v="&amp;$H157)</f>
        <v/>
      </c>
      <c r="K131" s="22">
        <f>IF($H157="","","https://img.youtube.com/vi/"&amp;$H157&amp;"/hqdefault.jpg")</f>
        <v/>
      </c>
      <c r="L131" s="24" t="inlineStr">
        <is>
          <t>확인필요</t>
        </is>
      </c>
      <c r="M131" s="21" t="inlineStr">
        <is>
          <t>N</t>
        </is>
      </c>
      <c r="N131" s="24" t="inlineStr">
        <is>
          <t>높음</t>
        </is>
      </c>
      <c r="O131" s="25" t="inlineStr">
        <is>
          <t>씨앗(검증 전)</t>
        </is>
      </c>
      <c r="P131" s="22" t="inlineStr">
        <is>
          <t>https://www.youtube.com/results?search_query=EXID%20%EC%9C%84%EC%95%84%EB%9E%98%20%28Up%20%26%20Down%29</t>
        </is>
      </c>
      <c r="Q131" s="22" t="inlineStr">
        <is>
          <t>https://music.youtube.com/search?q=EXID%20%EC%9C%84%EC%95%84%EB%9E%98%20%28Up%20%26%20Down%29</t>
        </is>
      </c>
    </row>
    <row r="132" ht="15" customHeight="1" s="17">
      <c r="A132" s="21" t="inlineStr">
        <is>
          <t>S131</t>
        </is>
      </c>
      <c r="B132" s="22" t="inlineStr">
        <is>
          <t>Hush</t>
        </is>
      </c>
      <c r="C132" s="25" t="inlineStr">
        <is>
          <t>미쓰에이</t>
        </is>
      </c>
      <c r="D132" s="23" t="inlineStr">
        <is>
          <t>2013</t>
        </is>
      </c>
      <c r="E132" s="24" t="inlineStr">
        <is>
          <t>설렘두근</t>
        </is>
      </c>
      <c r="F132" s="25" t="inlineStr">
        <is>
          <t>밤바다, 드라이브</t>
        </is>
      </c>
      <c r="G132" s="24" t="inlineStr">
        <is>
          <t>여돌</t>
        </is>
      </c>
      <c r="H132" s="22" t="n"/>
      <c r="I132" s="22">
        <f>IF($H158="","","https://youtu.be/"&amp;$H158)</f>
        <v/>
      </c>
      <c r="J132" s="22">
        <f>IF($H158="","","https://music.youtube.com/watch?v="&amp;$H158)</f>
        <v/>
      </c>
      <c r="K132" s="22">
        <f>IF($H158="","","https://img.youtube.com/vi/"&amp;$H158&amp;"/hqdefault.jpg")</f>
        <v/>
      </c>
      <c r="L132" s="24" t="inlineStr">
        <is>
          <t>확인필요</t>
        </is>
      </c>
      <c r="M132" s="21" t="inlineStr">
        <is>
          <t>N</t>
        </is>
      </c>
      <c r="N132" s="24" t="inlineStr">
        <is>
          <t>높음</t>
        </is>
      </c>
      <c r="O132" s="25" t="inlineStr">
        <is>
          <t>씨앗(검증 전)</t>
        </is>
      </c>
      <c r="P132" s="22" t="inlineStr">
        <is>
          <t>https://www.youtube.com/results?search_query=%EB%AF%B8%EC%93%B0%EC%97%90%EC%9D%B4%20Hush</t>
        </is>
      </c>
      <c r="Q132" s="22" t="inlineStr">
        <is>
          <t>https://music.youtube.com/search?q=%EB%AF%B8%EC%93%B0%EC%97%90%EC%9D%B4%20Hush</t>
        </is>
      </c>
    </row>
    <row r="133" ht="15" customHeight="1" s="17">
      <c r="A133" s="21" t="inlineStr">
        <is>
          <t>S132</t>
        </is>
      </c>
      <c r="B133" s="22" t="inlineStr">
        <is>
          <t>Cool With You</t>
        </is>
      </c>
      <c r="C133" s="22" t="inlineStr">
        <is>
          <t>NewJeans</t>
        </is>
      </c>
      <c r="D133" s="23" t="inlineStr">
        <is>
          <t>2023</t>
        </is>
      </c>
      <c r="E133" s="24" t="inlineStr">
        <is>
          <t>센치감성</t>
        </is>
      </c>
      <c r="F133" s="25" t="inlineStr">
        <is>
          <t>밤바다</t>
        </is>
      </c>
      <c r="G133" s="24" t="inlineStr">
        <is>
          <t>여돌</t>
        </is>
      </c>
      <c r="H133" s="22" t="n"/>
      <c r="I133" s="22">
        <f>IF($H160="","","https://youtu.be/"&amp;$H160)</f>
        <v/>
      </c>
      <c r="J133" s="22">
        <f>IF($H160="","","https://music.youtube.com/watch?v="&amp;$H160)</f>
        <v/>
      </c>
      <c r="K133" s="22">
        <f>IF($H160="","","https://img.youtube.com/vi/"&amp;$H160&amp;"/hqdefault.jpg")</f>
        <v/>
      </c>
      <c r="L133" s="24" t="inlineStr">
        <is>
          <t>확인필요</t>
        </is>
      </c>
      <c r="M133" s="21" t="inlineStr">
        <is>
          <t>N</t>
        </is>
      </c>
      <c r="N133" s="24" t="inlineStr">
        <is>
          <t>높음</t>
        </is>
      </c>
      <c r="O133" s="25" t="inlineStr">
        <is>
          <t>씨앗(검증 전)</t>
        </is>
      </c>
      <c r="P133" s="22" t="inlineStr">
        <is>
          <t>https://www.youtube.com/results?search_query=NewJeans%20Cool%20With%20You</t>
        </is>
      </c>
      <c r="Q133" s="22" t="inlineStr">
        <is>
          <t>https://music.youtube.com/search?q=NewJeans%20Cool%20With%20You</t>
        </is>
      </c>
    </row>
    <row r="134" ht="15" customHeight="1" s="17">
      <c r="A134" s="21" t="inlineStr">
        <is>
          <t>S133</t>
        </is>
      </c>
      <c r="B134" s="22" t="inlineStr">
        <is>
          <t>Ditto</t>
        </is>
      </c>
      <c r="C134" s="22" t="inlineStr">
        <is>
          <t>NewJeans</t>
        </is>
      </c>
      <c r="D134" s="23" t="inlineStr">
        <is>
          <t>2022</t>
        </is>
      </c>
      <c r="E134" s="24" t="inlineStr">
        <is>
          <t>센치감성</t>
        </is>
      </c>
      <c r="F134" s="25" t="inlineStr">
        <is>
          <t>비오는날, 밤바다</t>
        </is>
      </c>
      <c r="G134" s="24" t="inlineStr">
        <is>
          <t>여돌</t>
        </is>
      </c>
      <c r="H134" s="22" t="n"/>
      <c r="I134" s="22">
        <f>IF($H161="","","https://youtu.be/"&amp;$H161)</f>
        <v/>
      </c>
      <c r="J134" s="22">
        <f>IF($H161="","","https://music.youtube.com/watch?v="&amp;$H161)</f>
        <v/>
      </c>
      <c r="K134" s="22">
        <f>IF($H161="","","https://img.youtube.com/vi/"&amp;$H161&amp;"/hqdefault.jpg")</f>
        <v/>
      </c>
      <c r="L134" s="24" t="inlineStr">
        <is>
          <t>확인필요</t>
        </is>
      </c>
      <c r="M134" s="21" t="inlineStr">
        <is>
          <t>N</t>
        </is>
      </c>
      <c r="N134" s="24" t="inlineStr">
        <is>
          <t>높음</t>
        </is>
      </c>
      <c r="O134" s="25" t="inlineStr">
        <is>
          <t>씨앗(검증 전)</t>
        </is>
      </c>
      <c r="P134" s="22" t="inlineStr">
        <is>
          <t>https://www.youtube.com/results?search_query=NewJeans%20Ditto</t>
        </is>
      </c>
      <c r="Q134" s="22" t="inlineStr">
        <is>
          <t>https://music.youtube.com/search?q=NewJeans%20Ditto</t>
        </is>
      </c>
    </row>
    <row r="135" ht="15" customHeight="1" s="17">
      <c r="A135" s="21" t="inlineStr">
        <is>
          <t>S134</t>
        </is>
      </c>
      <c r="B135" s="22" t="inlineStr">
        <is>
          <t>Lovesick Girls</t>
        </is>
      </c>
      <c r="C135" s="25" t="inlineStr">
        <is>
          <t>블랙핑크</t>
        </is>
      </c>
      <c r="D135" s="23" t="inlineStr">
        <is>
          <t>2020</t>
        </is>
      </c>
      <c r="E135" s="24" t="inlineStr">
        <is>
          <t>센치감성</t>
        </is>
      </c>
      <c r="F135" s="25" t="inlineStr">
        <is>
          <t>밤바다</t>
        </is>
      </c>
      <c r="G135" s="24" t="inlineStr">
        <is>
          <t>여돌</t>
        </is>
      </c>
      <c r="H135" s="22" t="n"/>
      <c r="I135" s="22">
        <f>IF($H162="","","https://youtu.be/"&amp;$H162)</f>
        <v/>
      </c>
      <c r="J135" s="22">
        <f>IF($H162="","","https://music.youtube.com/watch?v="&amp;$H162)</f>
        <v/>
      </c>
      <c r="K135" s="22">
        <f>IF($H162="","","https://img.youtube.com/vi/"&amp;$H162&amp;"/hqdefault.jpg")</f>
        <v/>
      </c>
      <c r="L135" s="24" t="inlineStr">
        <is>
          <t>확인필요</t>
        </is>
      </c>
      <c r="M135" s="21" t="inlineStr">
        <is>
          <t>N</t>
        </is>
      </c>
      <c r="N135" s="24" t="inlineStr">
        <is>
          <t>높음</t>
        </is>
      </c>
      <c r="O135" s="25" t="inlineStr">
        <is>
          <t>씨앗(검증 전)</t>
        </is>
      </c>
      <c r="P135" s="22" t="inlineStr">
        <is>
          <t>https://www.youtube.com/results?search_query=%EB%B8%94%EB%9E%99%ED%95%91%ED%81%AC%20Lovesick%20Girls</t>
        </is>
      </c>
      <c r="Q135" s="22" t="inlineStr">
        <is>
          <t>https://music.youtube.com/search?q=%EB%B8%94%EB%9E%99%ED%95%91%ED%81%AC%20Lovesick%20Girls</t>
        </is>
      </c>
    </row>
    <row r="136" ht="15" customHeight="1" s="17">
      <c r="A136" s="21" t="inlineStr">
        <is>
          <t>S135</t>
        </is>
      </c>
      <c r="B136" s="22" t="inlineStr">
        <is>
          <t>Feel Special</t>
        </is>
      </c>
      <c r="C136" s="25" t="inlineStr">
        <is>
          <t>트와이스</t>
        </is>
      </c>
      <c r="D136" s="23" t="inlineStr">
        <is>
          <t>2019</t>
        </is>
      </c>
      <c r="E136" s="24" t="inlineStr">
        <is>
          <t>센치감성</t>
        </is>
      </c>
      <c r="F136" s="25" t="inlineStr">
        <is>
          <t>비오는날, 밤바다</t>
        </is>
      </c>
      <c r="G136" s="24" t="inlineStr">
        <is>
          <t>여돌</t>
        </is>
      </c>
      <c r="H136" s="22" t="n"/>
      <c r="I136" s="22">
        <f>IF($H163="","","https://youtu.be/"&amp;$H163)</f>
        <v/>
      </c>
      <c r="J136" s="22">
        <f>IF($H163="","","https://music.youtube.com/watch?v="&amp;$H163)</f>
        <v/>
      </c>
      <c r="K136" s="22">
        <f>IF($H163="","","https://img.youtube.com/vi/"&amp;$H163&amp;"/hqdefault.jpg")</f>
        <v/>
      </c>
      <c r="L136" s="24" t="inlineStr">
        <is>
          <t>확인필요</t>
        </is>
      </c>
      <c r="M136" s="21" t="inlineStr">
        <is>
          <t>N</t>
        </is>
      </c>
      <c r="N136" s="24" t="inlineStr">
        <is>
          <t>높음</t>
        </is>
      </c>
      <c r="O136" s="25" t="inlineStr">
        <is>
          <t>씨앗(검증 전)</t>
        </is>
      </c>
      <c r="P136" s="22" t="inlineStr">
        <is>
          <t>https://www.youtube.com/results?search_query=%ED%8A%B8%EC%99%80%EC%9D%B4%EC%8A%A4%20Feel%20Special</t>
        </is>
      </c>
      <c r="Q136" s="22" t="inlineStr">
        <is>
          <t>https://music.youtube.com/search?q=%ED%8A%B8%EC%99%80%EC%9D%B4%EC%8A%A4%20Feel%20Special</t>
        </is>
      </c>
    </row>
    <row r="137" ht="15" customHeight="1" s="17">
      <c r="A137" s="21" t="inlineStr">
        <is>
          <t>S136</t>
        </is>
      </c>
      <c r="B137" s="22" t="inlineStr">
        <is>
          <t>Bad Boy</t>
        </is>
      </c>
      <c r="C137" s="25" t="inlineStr">
        <is>
          <t>레드벨벳</t>
        </is>
      </c>
      <c r="D137" s="23" t="inlineStr">
        <is>
          <t>2018</t>
        </is>
      </c>
      <c r="E137" s="24" t="inlineStr">
        <is>
          <t>센치감성</t>
        </is>
      </c>
      <c r="F137" s="25" t="inlineStr">
        <is>
          <t>밤바다</t>
        </is>
      </c>
      <c r="G137" s="24" t="inlineStr">
        <is>
          <t>여돌</t>
        </is>
      </c>
      <c r="H137" s="22" t="n"/>
      <c r="I137" s="22">
        <f>IF($H164="","","https://youtu.be/"&amp;$H164)</f>
        <v/>
      </c>
      <c r="J137" s="22">
        <f>IF($H164="","","https://music.youtube.com/watch?v="&amp;$H164)</f>
        <v/>
      </c>
      <c r="K137" s="22">
        <f>IF($H164="","","https://img.youtube.com/vi/"&amp;$H164&amp;"/hqdefault.jpg")</f>
        <v/>
      </c>
      <c r="L137" s="24" t="inlineStr">
        <is>
          <t>확인필요</t>
        </is>
      </c>
      <c r="M137" s="21" t="inlineStr">
        <is>
          <t>N</t>
        </is>
      </c>
      <c r="N137" s="24" t="inlineStr">
        <is>
          <t>높음</t>
        </is>
      </c>
      <c r="O137" s="25" t="inlineStr">
        <is>
          <t>씨앗(검증 전)</t>
        </is>
      </c>
      <c r="P137" s="22" t="inlineStr">
        <is>
          <t>https://www.youtube.com/results?search_query=%EB%A0%88%EB%93%9C%EB%B2%A8%EB%B2%B3%20Bad%20Boy</t>
        </is>
      </c>
      <c r="Q137" s="22" t="inlineStr">
        <is>
          <t>https://music.youtube.com/search?q=%EB%A0%88%EB%93%9C%EB%B2%A8%EB%B2%B3%20Bad%20Boy</t>
        </is>
      </c>
    </row>
    <row r="138" ht="15" customHeight="1" s="17">
      <c r="A138" s="21" t="inlineStr">
        <is>
          <t>S137</t>
        </is>
      </c>
      <c r="B138" s="22" t="inlineStr">
        <is>
          <t>Number 9</t>
        </is>
      </c>
      <c r="C138" s="25" t="inlineStr">
        <is>
          <t>티아라</t>
        </is>
      </c>
      <c r="D138" s="23" t="inlineStr">
        <is>
          <t>2013</t>
        </is>
      </c>
      <c r="E138" s="24" t="inlineStr">
        <is>
          <t>센치감성</t>
        </is>
      </c>
      <c r="F138" s="25" t="inlineStr">
        <is>
          <t>밤바다</t>
        </is>
      </c>
      <c r="G138" s="24" t="inlineStr">
        <is>
          <t>여돌</t>
        </is>
      </c>
      <c r="H138" s="22" t="n"/>
      <c r="I138" s="22">
        <f>IF($H169="","","https://youtu.be/"&amp;$H169)</f>
        <v/>
      </c>
      <c r="J138" s="22">
        <f>IF($H169="","","https://music.youtube.com/watch?v="&amp;$H169)</f>
        <v/>
      </c>
      <c r="K138" s="22">
        <f>IF($H169="","","https://img.youtube.com/vi/"&amp;$H169&amp;"/hqdefault.jpg")</f>
        <v/>
      </c>
      <c r="L138" s="24" t="inlineStr">
        <is>
          <t>확인필요</t>
        </is>
      </c>
      <c r="M138" s="21" t="inlineStr">
        <is>
          <t>N</t>
        </is>
      </c>
      <c r="N138" s="24" t="inlineStr">
        <is>
          <t>높음</t>
        </is>
      </c>
      <c r="O138" s="25" t="inlineStr">
        <is>
          <t>씨앗(검증 전)</t>
        </is>
      </c>
      <c r="P138" s="22" t="inlineStr">
        <is>
          <t>https://www.youtube.com/results?search_query=%ED%8B%B0%EC%95%84%EB%9D%BC%20Number%209</t>
        </is>
      </c>
      <c r="Q138" s="22" t="inlineStr">
        <is>
          <t>https://music.youtube.com/search?q=%ED%8B%B0%EC%95%84%EB%9D%BC%20Number%209</t>
        </is>
      </c>
    </row>
    <row r="139" ht="15" customHeight="1" s="17">
      <c r="A139" s="21" t="inlineStr">
        <is>
          <t>S138</t>
        </is>
      </c>
      <c r="B139" s="22" t="inlineStr">
        <is>
          <t>Feel the POP</t>
        </is>
      </c>
      <c r="C139" s="25" t="inlineStr">
        <is>
          <t>제로베이스원</t>
        </is>
      </c>
      <c r="D139" s="23" t="inlineStr">
        <is>
          <t>2024</t>
        </is>
      </c>
      <c r="E139" s="24" t="inlineStr">
        <is>
          <t>상큼발랄</t>
        </is>
      </c>
      <c r="F139" s="25" t="inlineStr">
        <is>
          <t>바다</t>
        </is>
      </c>
      <c r="G139" s="24" t="inlineStr">
        <is>
          <t>남돌</t>
        </is>
      </c>
      <c r="H139" s="22" t="n"/>
      <c r="I139" s="22">
        <f>IF($H170="","","https://youtu.be/"&amp;$H170)</f>
        <v/>
      </c>
      <c r="J139" s="22">
        <f>IF($H170="","","https://music.youtube.com/watch?v="&amp;$H170)</f>
        <v/>
      </c>
      <c r="K139" s="22">
        <f>IF($H170="","","https://img.youtube.com/vi/"&amp;$H170&amp;"/hqdefault.jpg")</f>
        <v/>
      </c>
      <c r="L139" s="24" t="inlineStr">
        <is>
          <t>확인필요</t>
        </is>
      </c>
      <c r="M139" s="21" t="inlineStr">
        <is>
          <t>N</t>
        </is>
      </c>
      <c r="N139" s="24" t="inlineStr">
        <is>
          <t>높음</t>
        </is>
      </c>
      <c r="O139" s="25" t="inlineStr">
        <is>
          <t>씨앗(검증 전)</t>
        </is>
      </c>
      <c r="P139" s="22" t="inlineStr">
        <is>
          <t>https://www.youtube.com/results?search_query=%EC%A0%9C%EB%A1%9C%EB%B2%A0%EC%9D%B4%EC%8A%A4%EC%9B%90%20Feel%20the%20POP</t>
        </is>
      </c>
      <c r="Q139" s="22" t="inlineStr">
        <is>
          <t>https://music.youtube.com/search?q=%EC%A0%9C%EB%A1%9C%EB%B2%A0%EC%9D%B4%EC%8A%A4%EC%9B%90%20Feel%20the%20POP</t>
        </is>
      </c>
    </row>
    <row r="140" ht="15" customHeight="1" s="17">
      <c r="A140" s="21" t="inlineStr">
        <is>
          <t>S139</t>
        </is>
      </c>
      <c r="B140" s="22" t="inlineStr">
        <is>
          <t>Smoothie</t>
        </is>
      </c>
      <c r="C140" s="22" t="inlineStr">
        <is>
          <t>NCT DREAM</t>
        </is>
      </c>
      <c r="D140" s="23" t="inlineStr">
        <is>
          <t>2024</t>
        </is>
      </c>
      <c r="E140" s="24" t="inlineStr">
        <is>
          <t>상큼발랄</t>
        </is>
      </c>
      <c r="F140" s="25" t="inlineStr">
        <is>
          <t>바다</t>
        </is>
      </c>
      <c r="G140" s="24" t="inlineStr">
        <is>
          <t>남돌</t>
        </is>
      </c>
      <c r="H140" s="22" t="n"/>
      <c r="I140" s="22">
        <f>IF($H171="","","https://youtu.be/"&amp;$H171)</f>
        <v/>
      </c>
      <c r="J140" s="22">
        <f>IF($H171="","","https://music.youtube.com/watch?v="&amp;$H171)</f>
        <v/>
      </c>
      <c r="K140" s="22">
        <f>IF($H171="","","https://img.youtube.com/vi/"&amp;$H171&amp;"/hqdefault.jpg")</f>
        <v/>
      </c>
      <c r="L140" s="24" t="inlineStr">
        <is>
          <t>확인필요</t>
        </is>
      </c>
      <c r="M140" s="21" t="inlineStr">
        <is>
          <t>N</t>
        </is>
      </c>
      <c r="N140" s="24" t="inlineStr">
        <is>
          <t>높음</t>
        </is>
      </c>
      <c r="O140" s="25" t="inlineStr">
        <is>
          <t>씨앗(검증 전)</t>
        </is>
      </c>
      <c r="P140" s="22" t="inlineStr">
        <is>
          <t>https://www.youtube.com/results?search_query=NCT%20DREAM%20Smoothie</t>
        </is>
      </c>
      <c r="Q140" s="22" t="inlineStr">
        <is>
          <t>https://music.youtube.com/search?q=NCT%20DREAM%20Smoothie</t>
        </is>
      </c>
    </row>
    <row r="141" ht="15" customHeight="1" s="17">
      <c r="A141" s="21" t="inlineStr">
        <is>
          <t>S140</t>
        </is>
      </c>
      <c r="B141" s="25" t="inlineStr">
        <is>
          <t>첫 만남은 계획대로 되지 않아</t>
        </is>
      </c>
      <c r="C141" s="25" t="inlineStr">
        <is>
          <t>투어스</t>
        </is>
      </c>
      <c r="D141" s="23" t="inlineStr">
        <is>
          <t>2024</t>
        </is>
      </c>
      <c r="E141" s="24" t="inlineStr">
        <is>
          <t>상큼발랄</t>
        </is>
      </c>
      <c r="F141" s="25" t="inlineStr">
        <is>
          <t>바다</t>
        </is>
      </c>
      <c r="G141" s="24" t="inlineStr">
        <is>
          <t>남돌</t>
        </is>
      </c>
      <c r="H141" s="22" t="n"/>
      <c r="I141" s="22">
        <f>IF($H172="","","https://youtu.be/"&amp;$H172)</f>
        <v/>
      </c>
      <c r="J141" s="22">
        <f>IF($H172="","","https://music.youtube.com/watch?v="&amp;$H172)</f>
        <v/>
      </c>
      <c r="K141" s="22">
        <f>IF($H172="","","https://img.youtube.com/vi/"&amp;$H172&amp;"/hqdefault.jpg")</f>
        <v/>
      </c>
      <c r="L141" s="24" t="inlineStr">
        <is>
          <t>확인필요</t>
        </is>
      </c>
      <c r="M141" s="21" t="inlineStr">
        <is>
          <t>N</t>
        </is>
      </c>
      <c r="N141" s="24" t="inlineStr">
        <is>
          <t>높음</t>
        </is>
      </c>
      <c r="O141" s="25" t="inlineStr">
        <is>
          <t>씨앗(검증 전)</t>
        </is>
      </c>
      <c r="P141" s="22" t="inlineStr">
        <is>
          <t>https://www.youtube.com/results?search_query=%ED%88%AC%EC%96%B4%EC%8A%A4%20%EC%B2%AB%20%EB%A7%8C%EB%82%A8%EC%9D%80%20%EA%B3%84%ED%9A%8D%EB%8C%80%EB%A1%9C%20%EB%90%98%EC%A7%80%20%EC%95%8A%EC%95%84</t>
        </is>
      </c>
      <c r="Q141" s="22" t="inlineStr">
        <is>
          <t>https://music.youtube.com/search?q=%ED%88%AC%EC%96%B4%EC%8A%A4%20%EC%B2%AB%20%EB%A7%8C%EB%82%A8%EC%9D%80%20%EA%B3%84%ED%9A%8D%EB%8C%80%EB%A1%9C%20%EB%90%98%EC%A7%80%20%EC%95%8A%EC%95%84</t>
        </is>
      </c>
    </row>
    <row r="142" ht="15" customHeight="1" s="17">
      <c r="A142" s="21" t="inlineStr">
        <is>
          <t>S141</t>
        </is>
      </c>
      <c r="B142" s="25" t="inlineStr">
        <is>
          <t>다라리 (Darari)</t>
        </is>
      </c>
      <c r="C142" s="25" t="inlineStr">
        <is>
          <t>트레저</t>
        </is>
      </c>
      <c r="D142" s="23" t="inlineStr">
        <is>
          <t>2022</t>
        </is>
      </c>
      <c r="E142" s="24" t="inlineStr">
        <is>
          <t>상큼발랄</t>
        </is>
      </c>
      <c r="F142" s="25" t="inlineStr">
        <is>
          <t>바다</t>
        </is>
      </c>
      <c r="G142" s="24" t="inlineStr">
        <is>
          <t>남돌</t>
        </is>
      </c>
      <c r="H142" s="22" t="n"/>
      <c r="I142" s="22">
        <f>IF($H173="","","https://youtu.be/"&amp;$H173)</f>
        <v/>
      </c>
      <c r="J142" s="22">
        <f>IF($H173="","","https://music.youtube.com/watch?v="&amp;$H173)</f>
        <v/>
      </c>
      <c r="K142" s="22">
        <f>IF($H173="","","https://img.youtube.com/vi/"&amp;$H173&amp;"/hqdefault.jpg")</f>
        <v/>
      </c>
      <c r="L142" s="24" t="inlineStr">
        <is>
          <t>확인필요</t>
        </is>
      </c>
      <c r="M142" s="21" t="inlineStr">
        <is>
          <t>N</t>
        </is>
      </c>
      <c r="N142" s="24" t="inlineStr">
        <is>
          <t>높음</t>
        </is>
      </c>
      <c r="O142" s="25" t="inlineStr">
        <is>
          <t>씨앗(검증 전)</t>
        </is>
      </c>
      <c r="P142" s="22" t="inlineStr">
        <is>
          <t>https://www.youtube.com/results?search_query=%ED%8A%B8%EB%A0%88%EC%A0%80%20%EB%8B%A4%EB%9D%BC%EB%A6%AC%20%28Darari%29</t>
        </is>
      </c>
      <c r="Q142" s="22" t="inlineStr">
        <is>
          <t>https://music.youtube.com/search?q=%ED%8A%B8%EB%A0%88%EC%A0%80%20%EB%8B%A4%EB%9D%BC%EB%A6%AC%20%28Darari%29</t>
        </is>
      </c>
    </row>
    <row r="143" ht="15" customHeight="1" s="17">
      <c r="A143" s="21" t="inlineStr">
        <is>
          <t>S142</t>
        </is>
      </c>
      <c r="B143" s="22" t="inlineStr">
        <is>
          <t>Hello Future</t>
        </is>
      </c>
      <c r="C143" s="22" t="inlineStr">
        <is>
          <t>NCT DREAM</t>
        </is>
      </c>
      <c r="D143" s="23" t="inlineStr">
        <is>
          <t>2021</t>
        </is>
      </c>
      <c r="E143" s="24" t="inlineStr">
        <is>
          <t>상큼발랄</t>
        </is>
      </c>
      <c r="F143" s="25" t="inlineStr">
        <is>
          <t>바다, 드라이브</t>
        </is>
      </c>
      <c r="G143" s="24" t="inlineStr">
        <is>
          <t>남돌</t>
        </is>
      </c>
      <c r="H143" s="22" t="n"/>
      <c r="I143" s="22">
        <f>IF($H174="","","https://youtu.be/"&amp;$H174)</f>
        <v/>
      </c>
      <c r="J143" s="22">
        <f>IF($H174="","","https://music.youtube.com/watch?v="&amp;$H174)</f>
        <v/>
      </c>
      <c r="K143" s="22">
        <f>IF($H174="","","https://img.youtube.com/vi/"&amp;$H174&amp;"/hqdefault.jpg")</f>
        <v/>
      </c>
      <c r="L143" s="24" t="inlineStr">
        <is>
          <t>확인필요</t>
        </is>
      </c>
      <c r="M143" s="21" t="inlineStr">
        <is>
          <t>N</t>
        </is>
      </c>
      <c r="N143" s="24" t="inlineStr">
        <is>
          <t>높음</t>
        </is>
      </c>
      <c r="O143" s="25" t="inlineStr">
        <is>
          <t>씨앗(검증 전)</t>
        </is>
      </c>
      <c r="P143" s="22" t="inlineStr">
        <is>
          <t>https://www.youtube.com/results?search_query=NCT%20DREAM%20Hello%20Future</t>
        </is>
      </c>
      <c r="Q143" s="22" t="inlineStr">
        <is>
          <t>https://music.youtube.com/search?q=NCT%20DREAM%20Hello%20Future</t>
        </is>
      </c>
    </row>
    <row r="144" ht="15" customHeight="1" s="17">
      <c r="A144" s="21" t="inlineStr">
        <is>
          <t>S143</t>
        </is>
      </c>
      <c r="B144" s="22" t="inlineStr">
        <is>
          <t>Permission to Dance</t>
        </is>
      </c>
      <c r="C144" s="25" t="inlineStr">
        <is>
          <t>방탄소년단</t>
        </is>
      </c>
      <c r="D144" s="23" t="inlineStr">
        <is>
          <t>2021</t>
        </is>
      </c>
      <c r="E144" s="24" t="inlineStr">
        <is>
          <t>상큼발랄</t>
        </is>
      </c>
      <c r="F144" s="25" t="inlineStr">
        <is>
          <t>바다</t>
        </is>
      </c>
      <c r="G144" s="24" t="inlineStr">
        <is>
          <t>남돌</t>
        </is>
      </c>
      <c r="H144" s="22" t="n"/>
      <c r="I144" s="22">
        <f>IF($H175="","","https://youtu.be/"&amp;$H175)</f>
        <v/>
      </c>
      <c r="J144" s="22">
        <f>IF($H175="","","https://music.youtube.com/watch?v="&amp;$H175)</f>
        <v/>
      </c>
      <c r="K144" s="22">
        <f>IF($H175="","","https://img.youtube.com/vi/"&amp;$H175&amp;"/hqdefault.jpg")</f>
        <v/>
      </c>
      <c r="L144" s="24" t="inlineStr">
        <is>
          <t>확인필요</t>
        </is>
      </c>
      <c r="M144" s="21" t="inlineStr">
        <is>
          <t>N</t>
        </is>
      </c>
      <c r="N144" s="24" t="inlineStr">
        <is>
          <t>높음</t>
        </is>
      </c>
      <c r="O144" s="25" t="inlineStr">
        <is>
          <t>씨앗(검증 전)</t>
        </is>
      </c>
      <c r="P144" s="22" t="inlineStr">
        <is>
          <t>https://www.youtube.com/results?search_query=%EB%B0%A9%ED%83%84%EC%86%8C%EB%85%84%EB%8B%A8%20Permission%20to%20Dance</t>
        </is>
      </c>
      <c r="Q144" s="22" t="inlineStr">
        <is>
          <t>https://music.youtube.com/search?q=%EB%B0%A9%ED%83%84%EC%86%8C%EB%85%84%EB%8B%A8%20Permission%20to%20Dance</t>
        </is>
      </c>
    </row>
    <row r="145" ht="15" customHeight="1" s="17">
      <c r="A145" s="21" t="inlineStr">
        <is>
          <t>S144</t>
        </is>
      </c>
      <c r="B145" s="22" t="inlineStr">
        <is>
          <t>Dream Girl</t>
        </is>
      </c>
      <c r="C145" s="25" t="inlineStr">
        <is>
          <t>샤이니</t>
        </is>
      </c>
      <c r="D145" s="23" t="inlineStr">
        <is>
          <t>2013</t>
        </is>
      </c>
      <c r="E145" s="24" t="inlineStr">
        <is>
          <t>상큼발랄</t>
        </is>
      </c>
      <c r="F145" s="25" t="inlineStr">
        <is>
          <t>바다, 드라이브</t>
        </is>
      </c>
      <c r="G145" s="24" t="inlineStr">
        <is>
          <t>남돌</t>
        </is>
      </c>
      <c r="H145" s="22" t="n"/>
      <c r="I145" s="22">
        <f>IF($H190="","","https://youtu.be/"&amp;$H190)</f>
        <v/>
      </c>
      <c r="J145" s="22">
        <f>IF($H190="","","https://music.youtube.com/watch?v="&amp;$H190)</f>
        <v/>
      </c>
      <c r="K145" s="22">
        <f>IF($H190="","","https://img.youtube.com/vi/"&amp;$H190&amp;"/hqdefault.jpg")</f>
        <v/>
      </c>
      <c r="L145" s="24" t="inlineStr">
        <is>
          <t>확인필요</t>
        </is>
      </c>
      <c r="M145" s="21" t="inlineStr">
        <is>
          <t>N</t>
        </is>
      </c>
      <c r="N145" s="24" t="inlineStr">
        <is>
          <t>높음</t>
        </is>
      </c>
      <c r="O145" s="25" t="inlineStr">
        <is>
          <t>씨앗(검증 전)</t>
        </is>
      </c>
      <c r="P145" s="22" t="inlineStr">
        <is>
          <t>https://www.youtube.com/results?search_query=%EC%83%A4%EC%9D%B4%EB%8B%88%20Dream%20Girl</t>
        </is>
      </c>
      <c r="Q145" s="22" t="inlineStr">
        <is>
          <t>https://music.youtube.com/search?q=%EC%83%A4%EC%9D%B4%EB%8B%88%20Dream%20Girl</t>
        </is>
      </c>
    </row>
    <row r="146" ht="15" customHeight="1" s="17">
      <c r="A146" s="21" t="inlineStr">
        <is>
          <t>S145</t>
        </is>
      </c>
      <c r="B146" s="22" t="inlineStr">
        <is>
          <t>Boom Boom Bass</t>
        </is>
      </c>
      <c r="C146" s="22" t="inlineStr">
        <is>
          <t>RIIZE</t>
        </is>
      </c>
      <c r="D146" s="23" t="inlineStr">
        <is>
          <t>2024</t>
        </is>
      </c>
      <c r="E146" s="24" t="inlineStr">
        <is>
          <t>청량시원</t>
        </is>
      </c>
      <c r="F146" s="25" t="inlineStr">
        <is>
          <t>바다</t>
        </is>
      </c>
      <c r="G146" s="24" t="inlineStr">
        <is>
          <t>남돌</t>
        </is>
      </c>
      <c r="H146" s="22" t="n"/>
      <c r="I146" s="22">
        <f>IF($H191="","","https://youtu.be/"&amp;$H191)</f>
        <v/>
      </c>
      <c r="J146" s="22">
        <f>IF($H191="","","https://music.youtube.com/watch?v="&amp;$H191)</f>
        <v/>
      </c>
      <c r="K146" s="22">
        <f>IF($H191="","","https://img.youtube.com/vi/"&amp;$H191&amp;"/hqdefault.jpg")</f>
        <v/>
      </c>
      <c r="L146" s="24" t="inlineStr">
        <is>
          <t>확인필요</t>
        </is>
      </c>
      <c r="M146" s="21" t="inlineStr">
        <is>
          <t>N</t>
        </is>
      </c>
      <c r="N146" s="24" t="inlineStr">
        <is>
          <t>높음</t>
        </is>
      </c>
      <c r="O146" s="25" t="inlineStr">
        <is>
          <t>씨앗(검증 전)</t>
        </is>
      </c>
      <c r="P146" s="22" t="inlineStr">
        <is>
          <t>https://www.youtube.com/results?search_query=RIIZE%20Boom%20Boom%20Bass</t>
        </is>
      </c>
      <c r="Q146" s="22" t="inlineStr">
        <is>
          <t>https://music.youtube.com/search?q=RIIZE%20Boom%20Boom%20Bass</t>
        </is>
      </c>
    </row>
    <row r="147" ht="15" customHeight="1" s="17">
      <c r="A147" s="21" t="inlineStr">
        <is>
          <t>S146</t>
        </is>
      </c>
      <c r="B147" s="22" t="inlineStr">
        <is>
          <t>Earth, Wind &amp; Fire</t>
        </is>
      </c>
      <c r="C147" s="25" t="inlineStr">
        <is>
          <t>보이넥스트도어</t>
        </is>
      </c>
      <c r="D147" s="23" t="inlineStr">
        <is>
          <t>2024</t>
        </is>
      </c>
      <c r="E147" s="24" t="inlineStr">
        <is>
          <t>청량시원</t>
        </is>
      </c>
      <c r="F147" s="25" t="inlineStr">
        <is>
          <t>드라이브</t>
        </is>
      </c>
      <c r="G147" s="24" t="inlineStr">
        <is>
          <t>남돌</t>
        </is>
      </c>
      <c r="H147" s="22" t="n"/>
      <c r="I147" s="22">
        <f>IF($H192="","","https://youtu.be/"&amp;$H192)</f>
        <v/>
      </c>
      <c r="J147" s="22">
        <f>IF($H192="","","https://music.youtube.com/watch?v="&amp;$H192)</f>
        <v/>
      </c>
      <c r="K147" s="22">
        <f>IF($H192="","","https://img.youtube.com/vi/"&amp;$H192&amp;"/hqdefault.jpg")</f>
        <v/>
      </c>
      <c r="L147" s="24" t="inlineStr">
        <is>
          <t>확인필요</t>
        </is>
      </c>
      <c r="M147" s="21" t="inlineStr">
        <is>
          <t>N</t>
        </is>
      </c>
      <c r="N147" s="24" t="inlineStr">
        <is>
          <t>높음</t>
        </is>
      </c>
      <c r="O147" s="25" t="inlineStr">
        <is>
          <t>씨앗(검증 전)</t>
        </is>
      </c>
      <c r="P147" s="22" t="inlineStr">
        <is>
          <t>https://www.youtube.com/results?search_query=%EB%B3%B4%EC%9D%B4%EB%84%A5%EC%8A%A4%ED%8A%B8%EB%8F%84%EC%96%B4%20Earth%2C%20Wind%20%26%20Fire</t>
        </is>
      </c>
      <c r="Q147" s="22" t="inlineStr">
        <is>
          <t>https://music.youtube.com/search?q=%EB%B3%B4%EC%9D%B4%EB%84%A5%EC%8A%A4%ED%8A%B8%EB%8F%84%EC%96%B4%20Earth%2C%20Wind%20%26%20Fire</t>
        </is>
      </c>
    </row>
    <row r="148" ht="15" customHeight="1" s="17">
      <c r="A148" s="21" t="inlineStr">
        <is>
          <t>S147</t>
        </is>
      </c>
      <c r="B148" s="22" t="inlineStr">
        <is>
          <t>Sweat</t>
        </is>
      </c>
      <c r="C148" s="25" t="inlineStr">
        <is>
          <t>제로베이스원</t>
        </is>
      </c>
      <c r="D148" s="23" t="inlineStr">
        <is>
          <t>2024</t>
        </is>
      </c>
      <c r="E148" s="24" t="inlineStr">
        <is>
          <t>청량시원</t>
        </is>
      </c>
      <c r="F148" s="25" t="inlineStr">
        <is>
          <t>드라이브</t>
        </is>
      </c>
      <c r="G148" s="24" t="inlineStr">
        <is>
          <t>남돌</t>
        </is>
      </c>
      <c r="H148" s="22" t="n"/>
      <c r="I148" s="22">
        <f>IF($H193="","","https://youtu.be/"&amp;$H193)</f>
        <v/>
      </c>
      <c r="J148" s="22">
        <f>IF($H193="","","https://music.youtube.com/watch?v="&amp;$H193)</f>
        <v/>
      </c>
      <c r="K148" s="22">
        <f>IF($H193="","","https://img.youtube.com/vi/"&amp;$H193&amp;"/hqdefault.jpg")</f>
        <v/>
      </c>
      <c r="L148" s="24" t="inlineStr">
        <is>
          <t>확인필요</t>
        </is>
      </c>
      <c r="M148" s="21" t="inlineStr">
        <is>
          <t>N</t>
        </is>
      </c>
      <c r="N148" s="24" t="inlineStr">
        <is>
          <t>높음</t>
        </is>
      </c>
      <c r="O148" s="25" t="inlineStr">
        <is>
          <t>씨앗(검증 전)</t>
        </is>
      </c>
      <c r="P148" s="22" t="inlineStr">
        <is>
          <t>https://www.youtube.com/results?search_query=%EC%A0%9C%EB%A1%9C%EB%B2%A0%EC%9D%B4%EC%8A%A4%EC%9B%90%20Sweat</t>
        </is>
      </c>
      <c r="Q148" s="22" t="inlineStr">
        <is>
          <t>https://music.youtube.com/search?q=%EC%A0%9C%EB%A1%9C%EB%B2%A0%EC%9D%B4%EC%8A%A4%EC%9B%90%20Sweat</t>
        </is>
      </c>
    </row>
    <row r="149" ht="15" customHeight="1" s="17">
      <c r="A149" s="21" t="inlineStr">
        <is>
          <t>S148</t>
        </is>
      </c>
      <c r="B149" s="25" t="inlineStr">
        <is>
          <t>마에스트로 (MAESTRO)</t>
        </is>
      </c>
      <c r="C149" s="25" t="inlineStr">
        <is>
          <t>세븐틴</t>
        </is>
      </c>
      <c r="D149" s="23" t="inlineStr">
        <is>
          <t>2024</t>
        </is>
      </c>
      <c r="E149" s="24" t="inlineStr">
        <is>
          <t>청량시원</t>
        </is>
      </c>
      <c r="F149" s="25" t="inlineStr">
        <is>
          <t>바다, 드라이브</t>
        </is>
      </c>
      <c r="G149" s="24" t="inlineStr">
        <is>
          <t>남돌</t>
        </is>
      </c>
      <c r="H149" s="22" t="n"/>
      <c r="I149" s="22">
        <f>IF($H194="","","https://youtu.be/"&amp;$H194)</f>
        <v/>
      </c>
      <c r="J149" s="22">
        <f>IF($H194="","","https://music.youtube.com/watch?v="&amp;$H194)</f>
        <v/>
      </c>
      <c r="K149" s="22">
        <f>IF($H194="","","https://img.youtube.com/vi/"&amp;$H194&amp;"/hqdefault.jpg")</f>
        <v/>
      </c>
      <c r="L149" s="24" t="inlineStr">
        <is>
          <t>확인필요</t>
        </is>
      </c>
      <c r="M149" s="21" t="inlineStr">
        <is>
          <t>N</t>
        </is>
      </c>
      <c r="N149" s="24" t="inlineStr">
        <is>
          <t>높음</t>
        </is>
      </c>
      <c r="O149" s="25" t="inlineStr">
        <is>
          <t>씨앗(검증 전)</t>
        </is>
      </c>
      <c r="P149" s="22" t="inlineStr">
        <is>
          <t>https://www.youtube.com/results?search_query=%EC%84%B8%EB%B8%90%ED%8B%B4%20%EB%A7%88%EC%97%90%EC%8A%A4%ED%8A%B8%EB%A1%9C%20%28MAESTRO%29</t>
        </is>
      </c>
      <c r="Q149" s="22" t="inlineStr">
        <is>
          <t>https://music.youtube.com/search?q=%EC%84%B8%EB%B8%90%ED%8B%B4%20%EB%A7%88%EC%97%90%EC%8A%A4%ED%8A%B8%EB%A1%9C%20%28MAESTRO%29</t>
        </is>
      </c>
    </row>
    <row r="150" ht="15" customHeight="1" s="17">
      <c r="A150" s="21" t="inlineStr">
        <is>
          <t>S149</t>
        </is>
      </c>
      <c r="B150" s="22" t="inlineStr">
        <is>
          <t>Ay-Yo</t>
        </is>
      </c>
      <c r="C150" s="22" t="inlineStr">
        <is>
          <t>NCT 127</t>
        </is>
      </c>
      <c r="D150" s="23" t="inlineStr">
        <is>
          <t>2023</t>
        </is>
      </c>
      <c r="E150" s="24" t="inlineStr">
        <is>
          <t>청량시원</t>
        </is>
      </c>
      <c r="F150" s="25" t="inlineStr">
        <is>
          <t>바다</t>
        </is>
      </c>
      <c r="G150" s="24" t="inlineStr">
        <is>
          <t>남돌</t>
        </is>
      </c>
      <c r="H150" s="22" t="n"/>
      <c r="I150" s="22">
        <f>IF($H195="","","https://youtu.be/"&amp;$H195)</f>
        <v/>
      </c>
      <c r="J150" s="22">
        <f>IF($H195="","","https://music.youtube.com/watch?v="&amp;$H195)</f>
        <v/>
      </c>
      <c r="K150" s="22">
        <f>IF($H195="","","https://img.youtube.com/vi/"&amp;$H195&amp;"/hqdefault.jpg")</f>
        <v/>
      </c>
      <c r="L150" s="24" t="inlineStr">
        <is>
          <t>확인필요</t>
        </is>
      </c>
      <c r="M150" s="21" t="inlineStr">
        <is>
          <t>N</t>
        </is>
      </c>
      <c r="N150" s="24" t="inlineStr">
        <is>
          <t>높음</t>
        </is>
      </c>
      <c r="O150" s="25" t="inlineStr">
        <is>
          <t>씨앗(검증 전)</t>
        </is>
      </c>
      <c r="P150" s="22" t="inlineStr">
        <is>
          <t>https://www.youtube.com/results?search_query=NCT%20127%20Ay-Yo</t>
        </is>
      </c>
      <c r="Q150" s="22" t="inlineStr">
        <is>
          <t>https://music.youtube.com/search?q=NCT%20127%20Ay-Yo</t>
        </is>
      </c>
    </row>
    <row r="151" ht="15" customHeight="1" s="17">
      <c r="A151" s="21" t="inlineStr">
        <is>
          <t>S150</t>
        </is>
      </c>
      <c r="B151" s="22" t="inlineStr">
        <is>
          <t>Bite Me</t>
        </is>
      </c>
      <c r="C151" s="25" t="inlineStr">
        <is>
          <t>엔하이픈</t>
        </is>
      </c>
      <c r="D151" s="23" t="inlineStr">
        <is>
          <t>2023</t>
        </is>
      </c>
      <c r="E151" s="24" t="inlineStr">
        <is>
          <t>청량시원</t>
        </is>
      </c>
      <c r="F151" s="25" t="inlineStr">
        <is>
          <t>바다</t>
        </is>
      </c>
      <c r="G151" s="24" t="inlineStr">
        <is>
          <t>남돌</t>
        </is>
      </c>
      <c r="H151" s="22" t="n"/>
      <c r="I151" s="22">
        <f>IF($H196="","","https://youtu.be/"&amp;$H196)</f>
        <v/>
      </c>
      <c r="J151" s="22">
        <f>IF($H196="","","https://music.youtube.com/watch?v="&amp;$H196)</f>
        <v/>
      </c>
      <c r="K151" s="22">
        <f>IF($H196="","","https://img.youtube.com/vi/"&amp;$H196&amp;"/hqdefault.jpg")</f>
        <v/>
      </c>
      <c r="L151" s="24" t="inlineStr">
        <is>
          <t>확인필요</t>
        </is>
      </c>
      <c r="M151" s="21" t="inlineStr">
        <is>
          <t>N</t>
        </is>
      </c>
      <c r="N151" s="24" t="inlineStr">
        <is>
          <t>높음</t>
        </is>
      </c>
      <c r="O151" s="25" t="inlineStr">
        <is>
          <t>씨앗(검증 전)</t>
        </is>
      </c>
      <c r="P151" s="22" t="inlineStr">
        <is>
          <t>https://www.youtube.com/results?search_query=%EC%97%94%ED%95%98%EC%9D%B4%ED%94%88%20Bite%20Me</t>
        </is>
      </c>
      <c r="Q151" s="22" t="inlineStr">
        <is>
          <t>https://music.youtube.com/search?q=%EC%97%94%ED%95%98%EC%9D%B4%ED%94%88%20Bite%20Me</t>
        </is>
      </c>
    </row>
    <row r="152" ht="15" customHeight="1" s="17">
      <c r="A152" s="21" t="inlineStr">
        <is>
          <t>S151</t>
        </is>
      </c>
      <c r="B152" s="22" t="inlineStr">
        <is>
          <t>Bouncy</t>
        </is>
      </c>
      <c r="C152" s="25" t="inlineStr">
        <is>
          <t>에이티즈</t>
        </is>
      </c>
      <c r="D152" s="23" t="inlineStr">
        <is>
          <t>2023</t>
        </is>
      </c>
      <c r="E152" s="24" t="inlineStr">
        <is>
          <t>청량시원</t>
        </is>
      </c>
      <c r="F152" s="25" t="inlineStr">
        <is>
          <t>드라이브</t>
        </is>
      </c>
      <c r="G152" s="24" t="inlineStr">
        <is>
          <t>남돌</t>
        </is>
      </c>
      <c r="H152" s="22" t="n"/>
      <c r="I152" s="22">
        <f>IF($H197="","","https://youtu.be/"&amp;$H197)</f>
        <v/>
      </c>
      <c r="J152" s="22">
        <f>IF($H197="","","https://music.youtube.com/watch?v="&amp;$H197)</f>
        <v/>
      </c>
      <c r="K152" s="22">
        <f>IF($H197="","","https://img.youtube.com/vi/"&amp;$H197&amp;"/hqdefault.jpg")</f>
        <v/>
      </c>
      <c r="L152" s="24" t="inlineStr">
        <is>
          <t>확인필요</t>
        </is>
      </c>
      <c r="M152" s="21" t="inlineStr">
        <is>
          <t>N</t>
        </is>
      </c>
      <c r="N152" s="24" t="inlineStr">
        <is>
          <t>높음</t>
        </is>
      </c>
      <c r="O152" s="25" t="inlineStr">
        <is>
          <t>씨앗(검증 전)</t>
        </is>
      </c>
      <c r="P152" s="22" t="inlineStr">
        <is>
          <t>https://www.youtube.com/results?search_query=%EC%97%90%EC%9D%B4%ED%8B%B0%EC%A6%88%20Bouncy</t>
        </is>
      </c>
      <c r="Q152" s="22" t="inlineStr">
        <is>
          <t>https://music.youtube.com/search?q=%EC%97%90%EC%9D%B4%ED%8B%B0%EC%A6%88%20Bouncy</t>
        </is>
      </c>
    </row>
    <row r="153" ht="15" customHeight="1" s="17">
      <c r="A153" s="21" t="inlineStr">
        <is>
          <t>S152</t>
        </is>
      </c>
      <c r="B153" s="22" t="inlineStr">
        <is>
          <t>Get A Guitar</t>
        </is>
      </c>
      <c r="C153" s="22" t="inlineStr">
        <is>
          <t>RIIZE</t>
        </is>
      </c>
      <c r="D153" s="23" t="inlineStr">
        <is>
          <t>2023</t>
        </is>
      </c>
      <c r="E153" s="24" t="inlineStr">
        <is>
          <t>청량시원</t>
        </is>
      </c>
      <c r="F153" s="25" t="inlineStr">
        <is>
          <t>바다, 드라이브</t>
        </is>
      </c>
      <c r="G153" s="24" t="inlineStr">
        <is>
          <t>남돌</t>
        </is>
      </c>
      <c r="H153" s="22" t="n"/>
      <c r="I153" s="22">
        <f>IF($H198="","","https://youtu.be/"&amp;$H198)</f>
        <v/>
      </c>
      <c r="J153" s="22">
        <f>IF($H198="","","https://music.youtube.com/watch?v="&amp;$H198)</f>
        <v/>
      </c>
      <c r="K153" s="22">
        <f>IF($H198="","","https://img.youtube.com/vi/"&amp;$H198&amp;"/hqdefault.jpg")</f>
        <v/>
      </c>
      <c r="L153" s="24" t="inlineStr">
        <is>
          <t>확인필요</t>
        </is>
      </c>
      <c r="M153" s="21" t="inlineStr">
        <is>
          <t>N</t>
        </is>
      </c>
      <c r="N153" s="24" t="inlineStr">
        <is>
          <t>높음</t>
        </is>
      </c>
      <c r="O153" s="25" t="inlineStr">
        <is>
          <t>씨앗(검증 전)</t>
        </is>
      </c>
      <c r="P153" s="22" t="inlineStr">
        <is>
          <t>https://www.youtube.com/results?search_query=RIIZE%20Get%20A%20Guitar</t>
        </is>
      </c>
      <c r="Q153" s="22" t="inlineStr">
        <is>
          <t>https://music.youtube.com/search?q=RIIZE%20Get%20A%20Guitar</t>
        </is>
      </c>
    </row>
    <row r="154" ht="15" customHeight="1" s="17">
      <c r="A154" s="21" t="inlineStr">
        <is>
          <t>S153</t>
        </is>
      </c>
      <c r="B154" s="22" t="inlineStr">
        <is>
          <t>ISTJ</t>
        </is>
      </c>
      <c r="C154" s="22" t="inlineStr">
        <is>
          <t>NCT DREAM</t>
        </is>
      </c>
      <c r="D154" s="23" t="inlineStr">
        <is>
          <t>2023</t>
        </is>
      </c>
      <c r="E154" s="24" t="inlineStr">
        <is>
          <t>청량시원</t>
        </is>
      </c>
      <c r="F154" s="25" t="inlineStr">
        <is>
          <t>바다, 드라이브</t>
        </is>
      </c>
      <c r="G154" s="24" t="inlineStr">
        <is>
          <t>남돌</t>
        </is>
      </c>
      <c r="H154" s="22" t="n"/>
      <c r="I154" s="22">
        <f>IF($H199="","","https://youtu.be/"&amp;$H199)</f>
        <v/>
      </c>
      <c r="J154" s="22">
        <f>IF($H199="","","https://music.youtube.com/watch?v="&amp;$H199)</f>
        <v/>
      </c>
      <c r="K154" s="22">
        <f>IF($H199="","","https://img.youtube.com/vi/"&amp;$H199&amp;"/hqdefault.jpg")</f>
        <v/>
      </c>
      <c r="L154" s="24" t="inlineStr">
        <is>
          <t>확인필요</t>
        </is>
      </c>
      <c r="M154" s="21" t="inlineStr">
        <is>
          <t>N</t>
        </is>
      </c>
      <c r="N154" s="24" t="inlineStr">
        <is>
          <t>높음</t>
        </is>
      </c>
      <c r="O154" s="25" t="inlineStr">
        <is>
          <t>씨앗(검증 전)</t>
        </is>
      </c>
      <c r="P154" s="22" t="inlineStr">
        <is>
          <t>https://www.youtube.com/results?search_query=NCT%20DREAM%20ISTJ</t>
        </is>
      </c>
      <c r="Q154" s="22" t="inlineStr">
        <is>
          <t>https://music.youtube.com/search?q=NCT%20DREAM%20ISTJ</t>
        </is>
      </c>
    </row>
    <row r="155" ht="15" customHeight="1" s="17">
      <c r="A155" s="21" t="inlineStr">
        <is>
          <t>S154</t>
        </is>
      </c>
      <c r="B155" s="22" t="inlineStr">
        <is>
          <t>Melting Point</t>
        </is>
      </c>
      <c r="C155" s="25" t="inlineStr">
        <is>
          <t>제로베이스원</t>
        </is>
      </c>
      <c r="D155" s="23" t="inlineStr">
        <is>
          <t>2023</t>
        </is>
      </c>
      <c r="E155" s="24" t="inlineStr">
        <is>
          <t>청량시원</t>
        </is>
      </c>
      <c r="F155" s="25" t="inlineStr">
        <is>
          <t>드라이브</t>
        </is>
      </c>
      <c r="G155" s="24" t="inlineStr">
        <is>
          <t>남돌</t>
        </is>
      </c>
      <c r="H155" s="22" t="n"/>
      <c r="I155" s="22">
        <f>IF($H200="","","https://youtu.be/"&amp;$H200)</f>
        <v/>
      </c>
      <c r="J155" s="22">
        <f>IF($H200="","","https://music.youtube.com/watch?v="&amp;$H200)</f>
        <v/>
      </c>
      <c r="K155" s="22">
        <f>IF($H200="","","https://img.youtube.com/vi/"&amp;$H200&amp;"/hqdefault.jpg")</f>
        <v/>
      </c>
      <c r="L155" s="24" t="inlineStr">
        <is>
          <t>확인필요</t>
        </is>
      </c>
      <c r="M155" s="21" t="inlineStr">
        <is>
          <t>N</t>
        </is>
      </c>
      <c r="N155" s="24" t="inlineStr">
        <is>
          <t>높음</t>
        </is>
      </c>
      <c r="O155" s="25" t="inlineStr">
        <is>
          <t>씨앗(검증 전)</t>
        </is>
      </c>
      <c r="P155" s="22" t="inlineStr">
        <is>
          <t>https://www.youtube.com/results?search_query=%EC%A0%9C%EB%A1%9C%EB%B2%A0%EC%9D%B4%EC%8A%A4%EC%9B%90%20Melting%20Point</t>
        </is>
      </c>
      <c r="Q155" s="22" t="inlineStr">
        <is>
          <t>https://music.youtube.com/search?q=%EC%A0%9C%EB%A1%9C%EB%B2%A0%EC%9D%B4%EC%8A%A4%EC%9B%90%20Melting%20Point</t>
        </is>
      </c>
    </row>
    <row r="156" ht="15" customHeight="1" s="17">
      <c r="A156" s="21" t="inlineStr">
        <is>
          <t>S155</t>
        </is>
      </c>
      <c r="B156" s="22" t="inlineStr">
        <is>
          <t>Roar</t>
        </is>
      </c>
      <c r="C156" s="25" t="inlineStr">
        <is>
          <t>더보이즈</t>
        </is>
      </c>
      <c r="D156" s="23" t="inlineStr">
        <is>
          <t>2023</t>
        </is>
      </c>
      <c r="E156" s="24" t="inlineStr">
        <is>
          <t>청량시원</t>
        </is>
      </c>
      <c r="F156" s="25" t="inlineStr">
        <is>
          <t>바다, 드라이브</t>
        </is>
      </c>
      <c r="G156" s="24" t="inlineStr">
        <is>
          <t>남돌</t>
        </is>
      </c>
      <c r="H156" s="22" t="n"/>
      <c r="I156" s="22">
        <f>IF($H201="","","https://youtu.be/"&amp;$H201)</f>
        <v/>
      </c>
      <c r="J156" s="22">
        <f>IF($H201="","","https://music.youtube.com/watch?v="&amp;$H201)</f>
        <v/>
      </c>
      <c r="K156" s="22">
        <f>IF($H201="","","https://img.youtube.com/vi/"&amp;$H201&amp;"/hqdefault.jpg")</f>
        <v/>
      </c>
      <c r="L156" s="24" t="inlineStr">
        <is>
          <t>확인필요</t>
        </is>
      </c>
      <c r="M156" s="21" t="inlineStr">
        <is>
          <t>N</t>
        </is>
      </c>
      <c r="N156" s="24" t="inlineStr">
        <is>
          <t>높음</t>
        </is>
      </c>
      <c r="O156" s="25" t="inlineStr">
        <is>
          <t>씨앗(검증 전)</t>
        </is>
      </c>
      <c r="P156" s="22" t="inlineStr">
        <is>
          <t>https://www.youtube.com/results?search_query=%EB%8D%94%EB%B3%B4%EC%9D%B4%EC%A6%88%20Roar</t>
        </is>
      </c>
      <c r="Q156" s="22" t="inlineStr">
        <is>
          <t>https://music.youtube.com/search?q=%EB%8D%94%EB%B3%B4%EC%9D%B4%EC%A6%88%20Roar</t>
        </is>
      </c>
    </row>
    <row r="157" ht="15" customHeight="1" s="17">
      <c r="A157" s="21" t="inlineStr">
        <is>
          <t>S156</t>
        </is>
      </c>
      <c r="B157" s="22" t="inlineStr">
        <is>
          <t>S-Class</t>
        </is>
      </c>
      <c r="C157" s="25" t="inlineStr">
        <is>
          <t>스트레이키즈</t>
        </is>
      </c>
      <c r="D157" s="23" t="inlineStr">
        <is>
          <t>2023</t>
        </is>
      </c>
      <c r="E157" s="24" t="inlineStr">
        <is>
          <t>청량시원</t>
        </is>
      </c>
      <c r="F157" s="25" t="inlineStr">
        <is>
          <t>바다</t>
        </is>
      </c>
      <c r="G157" s="24" t="inlineStr">
        <is>
          <t>남돌</t>
        </is>
      </c>
      <c r="H157" s="22" t="n"/>
      <c r="I157" s="22">
        <f>IF($H202="","","https://youtu.be/"&amp;$H202)</f>
        <v/>
      </c>
      <c r="J157" s="22">
        <f>IF($H202="","","https://music.youtube.com/watch?v="&amp;$H202)</f>
        <v/>
      </c>
      <c r="K157" s="22">
        <f>IF($H202="","","https://img.youtube.com/vi/"&amp;$H202&amp;"/hqdefault.jpg")</f>
        <v/>
      </c>
      <c r="L157" s="24" t="inlineStr">
        <is>
          <t>확인필요</t>
        </is>
      </c>
      <c r="M157" s="21" t="inlineStr">
        <is>
          <t>N</t>
        </is>
      </c>
      <c r="N157" s="24" t="inlineStr">
        <is>
          <t>높음</t>
        </is>
      </c>
      <c r="O157" s="25" t="inlineStr">
        <is>
          <t>씨앗(검증 전)</t>
        </is>
      </c>
      <c r="P157" s="22" t="inlineStr">
        <is>
          <t>https://www.youtube.com/results?search_query=%EC%8A%A4%ED%8A%B8%EB%A0%88%EC%9D%B4%ED%82%A4%EC%A6%88%20S-Class</t>
        </is>
      </c>
      <c r="Q157" s="22" t="inlineStr">
        <is>
          <t>https://music.youtube.com/search?q=%EC%8A%A4%ED%8A%B8%EB%A0%88%EC%9D%B4%ED%82%A4%EC%A6%88%20S-Class</t>
        </is>
      </c>
    </row>
    <row r="158" ht="15" customHeight="1" s="17">
      <c r="A158" s="21" t="inlineStr">
        <is>
          <t>S157</t>
        </is>
      </c>
      <c r="B158" s="22" t="inlineStr">
        <is>
          <t>Talk Saxy</t>
        </is>
      </c>
      <c r="C158" s="22" t="inlineStr">
        <is>
          <t>RIIZE</t>
        </is>
      </c>
      <c r="D158" s="23" t="inlineStr">
        <is>
          <t>2023</t>
        </is>
      </c>
      <c r="E158" s="24" t="inlineStr">
        <is>
          <t>청량시원</t>
        </is>
      </c>
      <c r="F158" s="25" t="inlineStr">
        <is>
          <t>바다, 드라이브</t>
        </is>
      </c>
      <c r="G158" s="24" t="inlineStr">
        <is>
          <t>남돌</t>
        </is>
      </c>
      <c r="H158" s="22" t="n"/>
      <c r="I158" s="22">
        <f>IF($H203="","","https://youtu.be/"&amp;$H203)</f>
        <v/>
      </c>
      <c r="J158" s="22">
        <f>IF($H203="","","https://music.youtube.com/watch?v="&amp;$H203)</f>
        <v/>
      </c>
      <c r="K158" s="22">
        <f>IF($H203="","","https://img.youtube.com/vi/"&amp;$H203&amp;"/hqdefault.jpg")</f>
        <v/>
      </c>
      <c r="L158" s="24" t="inlineStr">
        <is>
          <t>확인필요</t>
        </is>
      </c>
      <c r="M158" s="21" t="inlineStr">
        <is>
          <t>N</t>
        </is>
      </c>
      <c r="N158" s="24" t="inlineStr">
        <is>
          <t>높음</t>
        </is>
      </c>
      <c r="O158" s="25" t="inlineStr">
        <is>
          <t>씨앗(검증 전)</t>
        </is>
      </c>
      <c r="P158" s="22" t="inlineStr">
        <is>
          <t>https://www.youtube.com/results?search_query=RIIZE%20Talk%20Saxy</t>
        </is>
      </c>
      <c r="Q158" s="22" t="inlineStr">
        <is>
          <t>https://music.youtube.com/search?q=RIIZE%20Talk%20Saxy</t>
        </is>
      </c>
    </row>
    <row r="159" ht="15" customHeight="1" s="17">
      <c r="A159" s="21" t="inlineStr">
        <is>
          <t>S158</t>
        </is>
      </c>
      <c r="B159" s="25" t="inlineStr">
        <is>
          <t>락 (락 (樂))</t>
        </is>
      </c>
      <c r="C159" s="25" t="inlineStr">
        <is>
          <t>스트레이키즈</t>
        </is>
      </c>
      <c r="D159" s="23" t="inlineStr">
        <is>
          <t>2023</t>
        </is>
      </c>
      <c r="E159" s="24" t="inlineStr">
        <is>
          <t>청량시원</t>
        </is>
      </c>
      <c r="F159" s="25" t="inlineStr">
        <is>
          <t>드라이브</t>
        </is>
      </c>
      <c r="G159" s="24" t="inlineStr">
        <is>
          <t>남돌</t>
        </is>
      </c>
      <c r="H159" s="22" t="n"/>
      <c r="I159" s="22">
        <f>IF($H204="","","https://youtu.be/"&amp;$H204)</f>
        <v/>
      </c>
      <c r="J159" s="22">
        <f>IF($H204="","","https://music.youtube.com/watch?v="&amp;$H204)</f>
        <v/>
      </c>
      <c r="K159" s="22">
        <f>IF($H204="","","https://img.youtube.com/vi/"&amp;$H204&amp;"/hqdefault.jpg")</f>
        <v/>
      </c>
      <c r="L159" s="24" t="inlineStr">
        <is>
          <t>확인필요</t>
        </is>
      </c>
      <c r="M159" s="21" t="inlineStr">
        <is>
          <t>N</t>
        </is>
      </c>
      <c r="N159" s="24" t="inlineStr">
        <is>
          <t>높음</t>
        </is>
      </c>
      <c r="O159" s="25" t="inlineStr">
        <is>
          <t>씨앗(검증 전)</t>
        </is>
      </c>
      <c r="P159" s="22" t="inlineStr">
        <is>
          <t>https://www.youtube.com/results?search_query=%EC%8A%A4%ED%8A%B8%EB%A0%88%EC%9D%B4%ED%82%A4%EC%A6%88%20%EB%9D%BD%20%28%EB%9D%BD%20%28%E6%A8%82%29%29</t>
        </is>
      </c>
      <c r="Q159" s="22" t="inlineStr">
        <is>
          <t>https://music.youtube.com/search?q=%EC%8A%A4%ED%8A%B8%EB%A0%88%EC%9D%B4%ED%82%A4%EC%A6%88%20%EB%9D%BD%20%28%EB%9D%BD%20%28%E6%A8%82%29%29</t>
        </is>
      </c>
    </row>
    <row r="160" ht="15" customHeight="1" s="17">
      <c r="A160" s="21" t="inlineStr">
        <is>
          <t>S159</t>
        </is>
      </c>
      <c r="B160" s="25" t="inlineStr">
        <is>
          <t>손오공</t>
        </is>
      </c>
      <c r="C160" s="25" t="inlineStr">
        <is>
          <t>세븐틴</t>
        </is>
      </c>
      <c r="D160" s="23" t="inlineStr">
        <is>
          <t>2023</t>
        </is>
      </c>
      <c r="E160" s="24" t="inlineStr">
        <is>
          <t>청량시원</t>
        </is>
      </c>
      <c r="F160" s="25" t="inlineStr">
        <is>
          <t>드라이브</t>
        </is>
      </c>
      <c r="G160" s="24" t="inlineStr">
        <is>
          <t>남돌</t>
        </is>
      </c>
      <c r="H160" s="22" t="n"/>
      <c r="I160" s="22">
        <f>IF($H205="","","https://youtu.be/"&amp;$H205)</f>
        <v/>
      </c>
      <c r="J160" s="22">
        <f>IF($H205="","","https://music.youtube.com/watch?v="&amp;$H205)</f>
        <v/>
      </c>
      <c r="K160" s="22">
        <f>IF($H205="","","https://img.youtube.com/vi/"&amp;$H205&amp;"/hqdefault.jpg")</f>
        <v/>
      </c>
      <c r="L160" s="24" t="inlineStr">
        <is>
          <t>확인필요</t>
        </is>
      </c>
      <c r="M160" s="21" t="inlineStr">
        <is>
          <t>N</t>
        </is>
      </c>
      <c r="N160" s="24" t="inlineStr">
        <is>
          <t>높음</t>
        </is>
      </c>
      <c r="O160" s="25" t="inlineStr">
        <is>
          <t>씨앗(검증 전)</t>
        </is>
      </c>
      <c r="P160" s="22" t="inlineStr">
        <is>
          <t>https://www.youtube.com/results?search_query=%EC%84%B8%EB%B8%90%ED%8B%B4%20%EC%86%90%EC%98%A4%EA%B3%B5</t>
        </is>
      </c>
      <c r="Q160" s="22" t="inlineStr">
        <is>
          <t>https://music.youtube.com/search?q=%EC%84%B8%EB%B8%90%ED%8B%B4%20%EC%86%90%EC%98%A4%EA%B3%B5</t>
        </is>
      </c>
    </row>
    <row r="161" ht="15" customHeight="1" s="17">
      <c r="A161" s="21" t="inlineStr">
        <is>
          <t>S160</t>
        </is>
      </c>
      <c r="B161" s="22" t="inlineStr">
        <is>
          <t>Beatbox</t>
        </is>
      </c>
      <c r="C161" s="22" t="inlineStr">
        <is>
          <t>NCT DREAM</t>
        </is>
      </c>
      <c r="D161" s="23" t="inlineStr">
        <is>
          <t>2022</t>
        </is>
      </c>
      <c r="E161" s="24" t="inlineStr">
        <is>
          <t>청량시원</t>
        </is>
      </c>
      <c r="F161" s="25" t="inlineStr">
        <is>
          <t>바다, 드라이브</t>
        </is>
      </c>
      <c r="G161" s="24" t="inlineStr">
        <is>
          <t>남돌</t>
        </is>
      </c>
      <c r="H161" s="22" t="n"/>
      <c r="I161" s="22">
        <f>IF($H206="","","https://youtu.be/"&amp;$H206)</f>
        <v/>
      </c>
      <c r="J161" s="22">
        <f>IF($H206="","","https://music.youtube.com/watch?v="&amp;$H206)</f>
        <v/>
      </c>
      <c r="K161" s="22">
        <f>IF($H206="","","https://img.youtube.com/vi/"&amp;$H206&amp;"/hqdefault.jpg")</f>
        <v/>
      </c>
      <c r="L161" s="24" t="inlineStr">
        <is>
          <t>확인필요</t>
        </is>
      </c>
      <c r="M161" s="21" t="inlineStr">
        <is>
          <t>N</t>
        </is>
      </c>
      <c r="N161" s="24" t="inlineStr">
        <is>
          <t>높음</t>
        </is>
      </c>
      <c r="O161" s="25" t="inlineStr">
        <is>
          <t>씨앗(검증 전)</t>
        </is>
      </c>
      <c r="P161" s="22" t="inlineStr">
        <is>
          <t>https://www.youtube.com/results?search_query=NCT%20DREAM%20Beatbox</t>
        </is>
      </c>
      <c r="Q161" s="22" t="inlineStr">
        <is>
          <t>https://music.youtube.com/search?q=NCT%20DREAM%20Beatbox</t>
        </is>
      </c>
    </row>
    <row r="162" ht="15" customHeight="1" s="17">
      <c r="A162" s="21" t="inlineStr">
        <is>
          <t>S161</t>
        </is>
      </c>
      <c r="B162" s="22" t="inlineStr">
        <is>
          <t>CASE 143</t>
        </is>
      </c>
      <c r="C162" s="25" t="inlineStr">
        <is>
          <t>스트레이키즈</t>
        </is>
      </c>
      <c r="D162" s="23" t="inlineStr">
        <is>
          <t>2022</t>
        </is>
      </c>
      <c r="E162" s="24" t="inlineStr">
        <is>
          <t>청량시원</t>
        </is>
      </c>
      <c r="F162" s="25" t="inlineStr">
        <is>
          <t>바다, 드라이브</t>
        </is>
      </c>
      <c r="G162" s="24" t="inlineStr">
        <is>
          <t>남돌</t>
        </is>
      </c>
      <c r="H162" s="22" t="n"/>
      <c r="I162" s="22">
        <f>IF($H207="","","https://youtu.be/"&amp;$H207)</f>
        <v/>
      </c>
      <c r="J162" s="22">
        <f>IF($H207="","","https://music.youtube.com/watch?v="&amp;$H207)</f>
        <v/>
      </c>
      <c r="K162" s="22">
        <f>IF($H207="","","https://img.youtube.com/vi/"&amp;$H207&amp;"/hqdefault.jpg")</f>
        <v/>
      </c>
      <c r="L162" s="24" t="inlineStr">
        <is>
          <t>확인필요</t>
        </is>
      </c>
      <c r="M162" s="21" t="inlineStr">
        <is>
          <t>N</t>
        </is>
      </c>
      <c r="N162" s="24" t="inlineStr">
        <is>
          <t>높음</t>
        </is>
      </c>
      <c r="O162" s="25" t="inlineStr">
        <is>
          <t>씨앗(검증 전)</t>
        </is>
      </c>
      <c r="P162" s="22" t="inlineStr">
        <is>
          <t>https://www.youtube.com/results?search_query=%EC%8A%A4%ED%8A%B8%EB%A0%88%EC%9D%B4%ED%82%A4%EC%A6%88%20CASE%20143</t>
        </is>
      </c>
      <c r="Q162" s="22" t="inlineStr">
        <is>
          <t>https://music.youtube.com/search?q=%EC%8A%A4%ED%8A%B8%EB%A0%88%EC%9D%B4%ED%82%A4%EC%A6%88%20CASE%20143</t>
        </is>
      </c>
    </row>
    <row r="163" ht="15" customHeight="1" s="17">
      <c r="A163" s="21" t="inlineStr">
        <is>
          <t>S162</t>
        </is>
      </c>
      <c r="B163" s="22" t="inlineStr">
        <is>
          <t>Future Perfect</t>
        </is>
      </c>
      <c r="C163" s="25" t="inlineStr">
        <is>
          <t>엔하이픈</t>
        </is>
      </c>
      <c r="D163" s="23" t="inlineStr">
        <is>
          <t>2022</t>
        </is>
      </c>
      <c r="E163" s="24" t="inlineStr">
        <is>
          <t>청량시원</t>
        </is>
      </c>
      <c r="F163" s="25" t="inlineStr">
        <is>
          <t>바다</t>
        </is>
      </c>
      <c r="G163" s="24" t="inlineStr">
        <is>
          <t>남돌</t>
        </is>
      </c>
      <c r="H163" s="22" t="n"/>
      <c r="I163" s="22">
        <f>IF($H208="","","https://youtu.be/"&amp;$H208)</f>
        <v/>
      </c>
      <c r="J163" s="22">
        <f>IF($H208="","","https://music.youtube.com/watch?v="&amp;$H208)</f>
        <v/>
      </c>
      <c r="K163" s="22">
        <f>IF($H208="","","https://img.youtube.com/vi/"&amp;$H208&amp;"/hqdefault.jpg")</f>
        <v/>
      </c>
      <c r="L163" s="24" t="inlineStr">
        <is>
          <t>확인필요</t>
        </is>
      </c>
      <c r="M163" s="21" t="inlineStr">
        <is>
          <t>N</t>
        </is>
      </c>
      <c r="N163" s="24" t="inlineStr">
        <is>
          <t>높음</t>
        </is>
      </c>
      <c r="O163" s="25" t="inlineStr">
        <is>
          <t>씨앗(검증 전)</t>
        </is>
      </c>
      <c r="P163" s="22" t="inlineStr">
        <is>
          <t>https://www.youtube.com/results?search_query=%EC%97%94%ED%95%98%EC%9D%B4%ED%94%88%20Future%20Perfect</t>
        </is>
      </c>
      <c r="Q163" s="22" t="inlineStr">
        <is>
          <t>https://music.youtube.com/search?q=%EC%97%94%ED%95%98%EC%9D%B4%ED%94%88%20Future%20Perfect</t>
        </is>
      </c>
    </row>
    <row r="164" ht="15" customHeight="1" s="17">
      <c r="A164" s="21" t="inlineStr">
        <is>
          <t>S163</t>
        </is>
      </c>
      <c r="B164" s="22" t="inlineStr">
        <is>
          <t>Good Boy Gone Bad</t>
        </is>
      </c>
      <c r="C164" s="25" t="inlineStr">
        <is>
          <t>투모로우바이투게더</t>
        </is>
      </c>
      <c r="D164" s="23" t="inlineStr">
        <is>
          <t>2022</t>
        </is>
      </c>
      <c r="E164" s="24" t="inlineStr">
        <is>
          <t>청량시원</t>
        </is>
      </c>
      <c r="F164" s="25" t="inlineStr">
        <is>
          <t>드라이브</t>
        </is>
      </c>
      <c r="G164" s="24" t="inlineStr">
        <is>
          <t>남돌</t>
        </is>
      </c>
      <c r="H164" s="22" t="n"/>
      <c r="I164" s="22">
        <f>IF($H209="","","https://youtu.be/"&amp;$H209)</f>
        <v/>
      </c>
      <c r="J164" s="22">
        <f>IF($H209="","","https://music.youtube.com/watch?v="&amp;$H209)</f>
        <v/>
      </c>
      <c r="K164" s="22">
        <f>IF($H209="","","https://img.youtube.com/vi/"&amp;$H209&amp;"/hqdefault.jpg")</f>
        <v/>
      </c>
      <c r="L164" s="24" t="inlineStr">
        <is>
          <t>확인필요</t>
        </is>
      </c>
      <c r="M164" s="21" t="inlineStr">
        <is>
          <t>N</t>
        </is>
      </c>
      <c r="N164" s="24" t="inlineStr">
        <is>
          <t>높음</t>
        </is>
      </c>
      <c r="O164" s="25" t="inlineStr">
        <is>
          <t>씨앗(검증 전)</t>
        </is>
      </c>
      <c r="P164" s="22" t="inlineStr">
        <is>
          <t>https://www.youtube.com/results?search_query=%ED%88%AC%EB%AA%A8%EB%A1%9C%EC%9A%B0%EB%B0%94%EC%9D%B4%ED%88%AC%EA%B2%8C%EB%8D%94%20Good%20Boy%20Gone%20Bad</t>
        </is>
      </c>
      <c r="Q164" s="22" t="inlineStr">
        <is>
          <t>https://music.youtube.com/search?q=%ED%88%AC%EB%AA%A8%EB%A1%9C%EC%9A%B0%EB%B0%94%EC%9D%B4%ED%88%AC%EA%B2%8C%EB%8D%94%20Good%20Boy%20Gone%20Bad</t>
        </is>
      </c>
    </row>
    <row r="165" ht="15" customHeight="1" s="17">
      <c r="A165" s="21" t="inlineStr">
        <is>
          <t>S164</t>
        </is>
      </c>
      <c r="B165" s="22" t="inlineStr">
        <is>
          <t>Guerrilla</t>
        </is>
      </c>
      <c r="C165" s="25" t="inlineStr">
        <is>
          <t>에이티즈</t>
        </is>
      </c>
      <c r="D165" s="23" t="inlineStr">
        <is>
          <t>2022</t>
        </is>
      </c>
      <c r="E165" s="24" t="inlineStr">
        <is>
          <t>청량시원</t>
        </is>
      </c>
      <c r="F165" s="25" t="inlineStr">
        <is>
          <t>바다, 드라이브</t>
        </is>
      </c>
      <c r="G165" s="24" t="inlineStr">
        <is>
          <t>남돌</t>
        </is>
      </c>
      <c r="H165" s="22" t="n"/>
      <c r="I165" s="22">
        <f>IF($H210="","","https://youtu.be/"&amp;$H210)</f>
        <v/>
      </c>
      <c r="J165" s="22">
        <f>IF($H210="","","https://music.youtube.com/watch?v="&amp;$H210)</f>
        <v/>
      </c>
      <c r="K165" s="22">
        <f>IF($H210="","","https://img.youtube.com/vi/"&amp;$H210&amp;"/hqdefault.jpg")</f>
        <v/>
      </c>
      <c r="L165" s="24" t="inlineStr">
        <is>
          <t>확인필요</t>
        </is>
      </c>
      <c r="M165" s="21" t="inlineStr">
        <is>
          <t>N</t>
        </is>
      </c>
      <c r="N165" s="24" t="inlineStr">
        <is>
          <t>높음</t>
        </is>
      </c>
      <c r="O165" s="25" t="inlineStr">
        <is>
          <t>씨앗(검증 전)</t>
        </is>
      </c>
      <c r="P165" s="22" t="inlineStr">
        <is>
          <t>https://www.youtube.com/results?search_query=%EC%97%90%EC%9D%B4%ED%8B%B0%EC%A6%88%20Guerrilla</t>
        </is>
      </c>
      <c r="Q165" s="22" t="inlineStr">
        <is>
          <t>https://music.youtube.com/search?q=%EC%97%90%EC%9D%B4%ED%8B%B0%EC%A6%88%20Guerrilla</t>
        </is>
      </c>
    </row>
    <row r="166" ht="15" customHeight="1" s="17">
      <c r="A166" s="21" t="inlineStr">
        <is>
          <t>S165</t>
        </is>
      </c>
      <c r="B166" s="22" t="inlineStr">
        <is>
          <t>HOT</t>
        </is>
      </c>
      <c r="C166" s="25" t="inlineStr">
        <is>
          <t>세븐틴</t>
        </is>
      </c>
      <c r="D166" s="23" t="inlineStr">
        <is>
          <t>2022</t>
        </is>
      </c>
      <c r="E166" s="24" t="inlineStr">
        <is>
          <t>청량시원</t>
        </is>
      </c>
      <c r="F166" s="25" t="inlineStr">
        <is>
          <t>바다</t>
        </is>
      </c>
      <c r="G166" s="24" t="inlineStr">
        <is>
          <t>남돌</t>
        </is>
      </c>
      <c r="H166" s="22" t="n"/>
      <c r="I166" s="22">
        <f>IF($H211="","","https://youtu.be/"&amp;$H211)</f>
        <v/>
      </c>
      <c r="J166" s="22">
        <f>IF($H211="","","https://music.youtube.com/watch?v="&amp;$H211)</f>
        <v/>
      </c>
      <c r="K166" s="22">
        <f>IF($H211="","","https://img.youtube.com/vi/"&amp;$H211&amp;"/hqdefault.jpg")</f>
        <v/>
      </c>
      <c r="L166" s="24" t="inlineStr">
        <is>
          <t>확인필요</t>
        </is>
      </c>
      <c r="M166" s="21" t="inlineStr">
        <is>
          <t>N</t>
        </is>
      </c>
      <c r="N166" s="24" t="inlineStr">
        <is>
          <t>높음</t>
        </is>
      </c>
      <c r="O166" s="25" t="inlineStr">
        <is>
          <t>씨앗(검증 전)</t>
        </is>
      </c>
      <c r="P166" s="22" t="inlineStr">
        <is>
          <t>https://www.youtube.com/results?search_query=%EC%84%B8%EB%B8%90%ED%8B%B4%20HOT</t>
        </is>
      </c>
      <c r="Q166" s="22" t="inlineStr">
        <is>
          <t>https://music.youtube.com/search?q=%EC%84%B8%EB%B8%90%ED%8B%B4%20HOT</t>
        </is>
      </c>
    </row>
    <row r="167" ht="15" customHeight="1" s="17">
      <c r="A167" s="21" t="inlineStr">
        <is>
          <t>S166</t>
        </is>
      </c>
      <c r="B167" s="22" t="inlineStr">
        <is>
          <t>Jikjin</t>
        </is>
      </c>
      <c r="C167" s="25" t="inlineStr">
        <is>
          <t>트레저</t>
        </is>
      </c>
      <c r="D167" s="23" t="inlineStr">
        <is>
          <t>2022</t>
        </is>
      </c>
      <c r="E167" s="24" t="inlineStr">
        <is>
          <t>청량시원</t>
        </is>
      </c>
      <c r="F167" s="25" t="inlineStr">
        <is>
          <t>바다</t>
        </is>
      </c>
      <c r="G167" s="24" t="inlineStr">
        <is>
          <t>남돌</t>
        </is>
      </c>
      <c r="H167" s="22" t="n"/>
      <c r="I167" s="22">
        <f>IF($H212="","","https://youtu.be/"&amp;$H212)</f>
        <v/>
      </c>
      <c r="J167" s="22">
        <f>IF($H212="","","https://music.youtube.com/watch?v="&amp;$H212)</f>
        <v/>
      </c>
      <c r="K167" s="22">
        <f>IF($H212="","","https://img.youtube.com/vi/"&amp;$H212&amp;"/hqdefault.jpg")</f>
        <v/>
      </c>
      <c r="L167" s="24" t="inlineStr">
        <is>
          <t>확인필요</t>
        </is>
      </c>
      <c r="M167" s="21" t="inlineStr">
        <is>
          <t>N</t>
        </is>
      </c>
      <c r="N167" s="24" t="inlineStr">
        <is>
          <t>높음</t>
        </is>
      </c>
      <c r="O167" s="25" t="inlineStr">
        <is>
          <t>씨앗(검증 전)</t>
        </is>
      </c>
      <c r="P167" s="22" t="inlineStr">
        <is>
          <t>https://www.youtube.com/results?search_query=%ED%8A%B8%EB%A0%88%EC%A0%80%20Jikjin</t>
        </is>
      </c>
      <c r="Q167" s="22" t="inlineStr">
        <is>
          <t>https://music.youtube.com/search?q=%ED%8A%B8%EB%A0%88%EC%A0%80%20Jikjin</t>
        </is>
      </c>
    </row>
    <row r="168" ht="15" customHeight="1" s="17">
      <c r="A168" s="21" t="inlineStr">
        <is>
          <t>S167</t>
        </is>
      </c>
      <c r="B168" s="22" t="inlineStr">
        <is>
          <t>MANIAC</t>
        </is>
      </c>
      <c r="C168" s="25" t="inlineStr">
        <is>
          <t>스트레이키즈</t>
        </is>
      </c>
      <c r="D168" s="23" t="inlineStr">
        <is>
          <t>2022</t>
        </is>
      </c>
      <c r="E168" s="24" t="inlineStr">
        <is>
          <t>청량시원</t>
        </is>
      </c>
      <c r="F168" s="25" t="inlineStr">
        <is>
          <t>바다</t>
        </is>
      </c>
      <c r="G168" s="24" t="inlineStr">
        <is>
          <t>남돌</t>
        </is>
      </c>
      <c r="H168" s="22" t="n"/>
      <c r="I168" s="22">
        <f>IF($H213="","","https://youtu.be/"&amp;$H213)</f>
        <v/>
      </c>
      <c r="J168" s="22">
        <f>IF($H213="","","https://music.youtube.com/watch?v="&amp;$H213)</f>
        <v/>
      </c>
      <c r="K168" s="22">
        <f>IF($H213="","","https://img.youtube.com/vi/"&amp;$H213&amp;"/hqdefault.jpg")</f>
        <v/>
      </c>
      <c r="L168" s="24" t="inlineStr">
        <is>
          <t>확인필요</t>
        </is>
      </c>
      <c r="M168" s="21" t="inlineStr">
        <is>
          <t>N</t>
        </is>
      </c>
      <c r="N168" s="24" t="inlineStr">
        <is>
          <t>높음</t>
        </is>
      </c>
      <c r="O168" s="25" t="inlineStr">
        <is>
          <t>씨앗(검증 전)</t>
        </is>
      </c>
      <c r="P168" s="22" t="inlineStr">
        <is>
          <t>https://www.youtube.com/results?search_query=%EC%8A%A4%ED%8A%B8%EB%A0%88%EC%9D%B4%ED%82%A4%EC%A6%88%20MANIAC</t>
        </is>
      </c>
      <c r="Q168" s="22" t="inlineStr">
        <is>
          <t>https://music.youtube.com/search?q=%EC%8A%A4%ED%8A%B8%EB%A0%88%EC%9D%B4%ED%82%A4%EC%A6%88%20MANIAC</t>
        </is>
      </c>
    </row>
    <row r="169" ht="15" customHeight="1" s="17">
      <c r="A169" s="21" t="inlineStr">
        <is>
          <t>S168</t>
        </is>
      </c>
      <c r="B169" s="22" t="inlineStr">
        <is>
          <t>0X1=LOVESONG</t>
        </is>
      </c>
      <c r="C169" s="25" t="inlineStr">
        <is>
          <t>투모로우바이투게더</t>
        </is>
      </c>
      <c r="D169" s="23" t="inlineStr">
        <is>
          <t>2021</t>
        </is>
      </c>
      <c r="E169" s="24" t="inlineStr">
        <is>
          <t>청량시원</t>
        </is>
      </c>
      <c r="F169" s="25" t="inlineStr">
        <is>
          <t>바다, 드라이브</t>
        </is>
      </c>
      <c r="G169" s="24" t="inlineStr">
        <is>
          <t>남돌</t>
        </is>
      </c>
      <c r="H169" s="22" t="n"/>
      <c r="I169" s="22">
        <f>IF($H214="","","https://youtu.be/"&amp;$H214)</f>
        <v/>
      </c>
      <c r="J169" s="22">
        <f>IF($H214="","","https://music.youtube.com/watch?v="&amp;$H214)</f>
        <v/>
      </c>
      <c r="K169" s="22">
        <f>IF($H214="","","https://img.youtube.com/vi/"&amp;$H214&amp;"/hqdefault.jpg")</f>
        <v/>
      </c>
      <c r="L169" s="24" t="inlineStr">
        <is>
          <t>확인필요</t>
        </is>
      </c>
      <c r="M169" s="21" t="inlineStr">
        <is>
          <t>N</t>
        </is>
      </c>
      <c r="N169" s="24" t="inlineStr">
        <is>
          <t>높음</t>
        </is>
      </c>
      <c r="O169" s="25" t="inlineStr">
        <is>
          <t>씨앗(검증 전)</t>
        </is>
      </c>
      <c r="P169" s="22" t="inlineStr">
        <is>
          <t>https://www.youtube.com/results?search_query=%ED%88%AC%EB%AA%A8%EB%A1%9C%EC%9A%B0%EB%B0%94%EC%9D%B4%ED%88%AC%EA%B2%8C%EB%8D%94%200X1%3DLOVESONG</t>
        </is>
      </c>
      <c r="Q169" s="22" t="inlineStr">
        <is>
          <t>https://music.youtube.com/search?q=%ED%88%AC%EB%AA%A8%EB%A1%9C%EC%9A%B0%EB%B0%94%EC%9D%B4%ED%88%AC%EA%B2%8C%EB%8D%94%200X1%3DLOVESONG</t>
        </is>
      </c>
    </row>
    <row r="170" ht="15" customHeight="1" s="17">
      <c r="A170" s="21" t="inlineStr">
        <is>
          <t>S169</t>
        </is>
      </c>
      <c r="B170" s="22" t="inlineStr">
        <is>
          <t>Butter</t>
        </is>
      </c>
      <c r="C170" s="25" t="inlineStr">
        <is>
          <t>방탄소년단</t>
        </is>
      </c>
      <c r="D170" s="23" t="inlineStr">
        <is>
          <t>2021</t>
        </is>
      </c>
      <c r="E170" s="24" t="inlineStr">
        <is>
          <t>청량시원</t>
        </is>
      </c>
      <c r="F170" s="25" t="inlineStr">
        <is>
          <t>바다</t>
        </is>
      </c>
      <c r="G170" s="24" t="inlineStr">
        <is>
          <t>남돌</t>
        </is>
      </c>
      <c r="H170" s="22" t="n"/>
      <c r="I170" s="22">
        <f>IF($H215="","","https://youtu.be/"&amp;$H215)</f>
        <v/>
      </c>
      <c r="J170" s="22">
        <f>IF($H215="","","https://music.youtube.com/watch?v="&amp;$H215)</f>
        <v/>
      </c>
      <c r="K170" s="22">
        <f>IF($H215="","","https://img.youtube.com/vi/"&amp;$H215&amp;"/hqdefault.jpg")</f>
        <v/>
      </c>
      <c r="L170" s="24" t="inlineStr">
        <is>
          <t>확인필요</t>
        </is>
      </c>
      <c r="M170" s="21" t="inlineStr">
        <is>
          <t>N</t>
        </is>
      </c>
      <c r="N170" s="24" t="inlineStr">
        <is>
          <t>높음</t>
        </is>
      </c>
      <c r="O170" s="25" t="inlineStr">
        <is>
          <t>씨앗(검증 전)</t>
        </is>
      </c>
      <c r="P170" s="22" t="inlineStr">
        <is>
          <t>https://www.youtube.com/results?search_query=%EB%B0%A9%ED%83%84%EC%86%8C%EB%85%84%EB%8B%A8%20Butter</t>
        </is>
      </c>
      <c r="Q170" s="22" t="inlineStr">
        <is>
          <t>https://music.youtube.com/search?q=%EB%B0%A9%ED%83%84%EC%86%8C%EB%85%84%EB%8B%A8%20Butter</t>
        </is>
      </c>
    </row>
    <row r="171" ht="15" customHeight="1" s="17">
      <c r="A171" s="21" t="inlineStr">
        <is>
          <t>S170</t>
        </is>
      </c>
      <c r="B171" s="22" t="inlineStr">
        <is>
          <t>MAVERICK</t>
        </is>
      </c>
      <c r="C171" s="25" t="inlineStr">
        <is>
          <t>더보이즈</t>
        </is>
      </c>
      <c r="D171" s="23" t="inlineStr">
        <is>
          <t>2021</t>
        </is>
      </c>
      <c r="E171" s="24" t="inlineStr">
        <is>
          <t>청량시원</t>
        </is>
      </c>
      <c r="F171" s="25" t="inlineStr">
        <is>
          <t>바다, 드라이브</t>
        </is>
      </c>
      <c r="G171" s="24" t="inlineStr">
        <is>
          <t>남돌</t>
        </is>
      </c>
      <c r="H171" s="22" t="n"/>
      <c r="I171" s="22">
        <f>IF($H216="","","https://youtu.be/"&amp;$H216)</f>
        <v/>
      </c>
      <c r="J171" s="22">
        <f>IF($H216="","","https://music.youtube.com/watch?v="&amp;$H216)</f>
        <v/>
      </c>
      <c r="K171" s="22">
        <f>IF($H216="","","https://img.youtube.com/vi/"&amp;$H216&amp;"/hqdefault.jpg")</f>
        <v/>
      </c>
      <c r="L171" s="24" t="inlineStr">
        <is>
          <t>확인필요</t>
        </is>
      </c>
      <c r="M171" s="21" t="inlineStr">
        <is>
          <t>N</t>
        </is>
      </c>
      <c r="N171" s="24" t="inlineStr">
        <is>
          <t>높음</t>
        </is>
      </c>
      <c r="O171" s="25" t="inlineStr">
        <is>
          <t>씨앗(검증 전)</t>
        </is>
      </c>
      <c r="P171" s="22" t="inlineStr">
        <is>
          <t>https://www.youtube.com/results?search_query=%EB%8D%94%EB%B3%B4%EC%9D%B4%EC%A6%88%20MAVERICK</t>
        </is>
      </c>
      <c r="Q171" s="22" t="inlineStr">
        <is>
          <t>https://music.youtube.com/search?q=%EB%8D%94%EB%B3%B4%EC%9D%B4%EC%A6%88%20MAVERICK</t>
        </is>
      </c>
    </row>
    <row r="172" ht="15" customHeight="1" s="17">
      <c r="A172" s="21" t="inlineStr">
        <is>
          <t>S171</t>
        </is>
      </c>
      <c r="B172" s="22" t="inlineStr">
        <is>
          <t>Rock with you</t>
        </is>
      </c>
      <c r="C172" s="25" t="inlineStr">
        <is>
          <t>세븐틴</t>
        </is>
      </c>
      <c r="D172" s="23" t="inlineStr">
        <is>
          <t>2021</t>
        </is>
      </c>
      <c r="E172" s="24" t="inlineStr">
        <is>
          <t>청량시원</t>
        </is>
      </c>
      <c r="F172" s="25" t="inlineStr">
        <is>
          <t>바다, 드라이브</t>
        </is>
      </c>
      <c r="G172" s="24" t="inlineStr">
        <is>
          <t>남돌</t>
        </is>
      </c>
      <c r="H172" s="22" t="n"/>
      <c r="I172" s="22">
        <f>IF($H217="","","https://youtu.be/"&amp;$H217)</f>
        <v/>
      </c>
      <c r="J172" s="22">
        <f>IF($H217="","","https://music.youtube.com/watch?v="&amp;$H217)</f>
        <v/>
      </c>
      <c r="K172" s="22">
        <f>IF($H217="","","https://img.youtube.com/vi/"&amp;$H217&amp;"/hqdefault.jpg")</f>
        <v/>
      </c>
      <c r="L172" s="24" t="inlineStr">
        <is>
          <t>확인필요</t>
        </is>
      </c>
      <c r="M172" s="21" t="inlineStr">
        <is>
          <t>N</t>
        </is>
      </c>
      <c r="N172" s="24" t="inlineStr">
        <is>
          <t>높음</t>
        </is>
      </c>
      <c r="O172" s="25" t="inlineStr">
        <is>
          <t>씨앗(검증 전)</t>
        </is>
      </c>
      <c r="P172" s="22" t="inlineStr">
        <is>
          <t>https://www.youtube.com/results?search_query=%EC%84%B8%EB%B8%90%ED%8B%B4%20Rock%20with%20you</t>
        </is>
      </c>
      <c r="Q172" s="22" t="inlineStr">
        <is>
          <t>https://music.youtube.com/search?q=%EC%84%B8%EB%B8%90%ED%8B%B4%20Rock%20with%20you</t>
        </is>
      </c>
    </row>
    <row r="173" ht="15" customHeight="1" s="17">
      <c r="A173" s="21" t="inlineStr">
        <is>
          <t>S172</t>
        </is>
      </c>
      <c r="B173" s="22" t="inlineStr">
        <is>
          <t>Sticker</t>
        </is>
      </c>
      <c r="C173" s="22" t="inlineStr">
        <is>
          <t>NCT 127</t>
        </is>
      </c>
      <c r="D173" s="23" t="inlineStr">
        <is>
          <t>2021</t>
        </is>
      </c>
      <c r="E173" s="24" t="inlineStr">
        <is>
          <t>청량시원</t>
        </is>
      </c>
      <c r="F173" s="25" t="inlineStr">
        <is>
          <t>바다, 드라이브</t>
        </is>
      </c>
      <c r="G173" s="24" t="inlineStr">
        <is>
          <t>남돌</t>
        </is>
      </c>
      <c r="H173" s="22" t="n"/>
      <c r="I173" s="22">
        <f>IF($H218="","","https://youtu.be/"&amp;$H218)</f>
        <v/>
      </c>
      <c r="J173" s="22">
        <f>IF($H218="","","https://music.youtube.com/watch?v="&amp;$H218)</f>
        <v/>
      </c>
      <c r="K173" s="22">
        <f>IF($H218="","","https://img.youtube.com/vi/"&amp;$H218&amp;"/hqdefault.jpg")</f>
        <v/>
      </c>
      <c r="L173" s="24" t="inlineStr">
        <is>
          <t>확인필요</t>
        </is>
      </c>
      <c r="M173" s="21" t="inlineStr">
        <is>
          <t>N</t>
        </is>
      </c>
      <c r="N173" s="24" t="inlineStr">
        <is>
          <t>높음</t>
        </is>
      </c>
      <c r="O173" s="25" t="inlineStr">
        <is>
          <t>씨앗(검증 전)</t>
        </is>
      </c>
      <c r="P173" s="22" t="inlineStr">
        <is>
          <t>https://www.youtube.com/results?search_query=NCT%20127%20Sticker</t>
        </is>
      </c>
      <c r="Q173" s="22" t="inlineStr">
        <is>
          <t>https://music.youtube.com/search?q=NCT%20127%20Sticker</t>
        </is>
      </c>
    </row>
    <row r="174" ht="15" customHeight="1" s="17">
      <c r="A174" s="21" t="inlineStr">
        <is>
          <t>S173</t>
        </is>
      </c>
      <c r="B174" s="22" t="inlineStr">
        <is>
          <t>THRILL RIDE</t>
        </is>
      </c>
      <c r="C174" s="25" t="inlineStr">
        <is>
          <t>더보이즈</t>
        </is>
      </c>
      <c r="D174" s="23" t="inlineStr">
        <is>
          <t>2021</t>
        </is>
      </c>
      <c r="E174" s="24" t="inlineStr">
        <is>
          <t>청량시원</t>
        </is>
      </c>
      <c r="F174" s="25" t="inlineStr">
        <is>
          <t>드라이브</t>
        </is>
      </c>
      <c r="G174" s="24" t="inlineStr">
        <is>
          <t>남돌</t>
        </is>
      </c>
      <c r="H174" s="22" t="n"/>
      <c r="I174" s="22">
        <f>IF($H219="","","https://youtu.be/"&amp;$H219)</f>
        <v/>
      </c>
      <c r="J174" s="22">
        <f>IF($H219="","","https://music.youtube.com/watch?v="&amp;$H219)</f>
        <v/>
      </c>
      <c r="K174" s="22">
        <f>IF($H219="","","https://img.youtube.com/vi/"&amp;$H219&amp;"/hqdefault.jpg")</f>
        <v/>
      </c>
      <c r="L174" s="24" t="inlineStr">
        <is>
          <t>확인필요</t>
        </is>
      </c>
      <c r="M174" s="21" t="inlineStr">
        <is>
          <t>N</t>
        </is>
      </c>
      <c r="N174" s="24" t="inlineStr">
        <is>
          <t>높음</t>
        </is>
      </c>
      <c r="O174" s="25" t="inlineStr">
        <is>
          <t>씨앗(검증 전)</t>
        </is>
      </c>
      <c r="P174" s="22" t="inlineStr">
        <is>
          <t>https://www.youtube.com/results?search_query=%EB%8D%94%EB%B3%B4%EC%9D%B4%EC%A6%88%20THRILL%20RIDE</t>
        </is>
      </c>
      <c r="Q174" s="22" t="inlineStr">
        <is>
          <t>https://music.youtube.com/search?q=%EB%8D%94%EB%B3%B4%EC%9D%B4%EC%A6%88%20THRILL%20RIDE</t>
        </is>
      </c>
    </row>
    <row r="175" ht="15" customHeight="1" s="17">
      <c r="A175" s="21" t="inlineStr">
        <is>
          <t>S174</t>
        </is>
      </c>
      <c r="B175" s="22" t="inlineStr">
        <is>
          <t>Tamed-Dashed</t>
        </is>
      </c>
      <c r="C175" s="25" t="inlineStr">
        <is>
          <t>엔하이픈</t>
        </is>
      </c>
      <c r="D175" s="23" t="inlineStr">
        <is>
          <t>2021</t>
        </is>
      </c>
      <c r="E175" s="24" t="inlineStr">
        <is>
          <t>청량시원</t>
        </is>
      </c>
      <c r="F175" s="25" t="inlineStr">
        <is>
          <t>바다, 드라이브</t>
        </is>
      </c>
      <c r="G175" s="24" t="inlineStr">
        <is>
          <t>남돌</t>
        </is>
      </c>
      <c r="H175" s="22" t="n"/>
      <c r="I175" s="22">
        <f>IF($H220="","","https://youtu.be/"&amp;$H220)</f>
        <v/>
      </c>
      <c r="J175" s="22">
        <f>IF($H220="","","https://music.youtube.com/watch?v="&amp;$H220)</f>
        <v/>
      </c>
      <c r="K175" s="22">
        <f>IF($H220="","","https://img.youtube.com/vi/"&amp;$H220&amp;"/hqdefault.jpg")</f>
        <v/>
      </c>
      <c r="L175" s="24" t="inlineStr">
        <is>
          <t>확인필요</t>
        </is>
      </c>
      <c r="M175" s="21" t="inlineStr">
        <is>
          <t>N</t>
        </is>
      </c>
      <c r="N175" s="24" t="inlineStr">
        <is>
          <t>높음</t>
        </is>
      </c>
      <c r="O175" s="25" t="inlineStr">
        <is>
          <t>씨앗(검증 전)</t>
        </is>
      </c>
      <c r="P175" s="22" t="inlineStr">
        <is>
          <t>https://www.youtube.com/results?search_query=%EC%97%94%ED%95%98%EC%9D%B4%ED%94%88%20Tamed-Dashed</t>
        </is>
      </c>
      <c r="Q175" s="22" t="inlineStr">
        <is>
          <t>https://music.youtube.com/search?q=%EC%97%94%ED%95%98%EC%9D%B4%ED%94%88%20Tamed-Dashed</t>
        </is>
      </c>
    </row>
    <row r="176" ht="15" customHeight="1" s="17">
      <c r="A176" s="21" t="inlineStr">
        <is>
          <t>S175</t>
        </is>
      </c>
      <c r="B176" s="25" t="inlineStr">
        <is>
          <t>맛 (Hot Sauce)</t>
        </is>
      </c>
      <c r="C176" s="22" t="inlineStr">
        <is>
          <t>NCT DREAM</t>
        </is>
      </c>
      <c r="D176" s="23" t="inlineStr">
        <is>
          <t>2021</t>
        </is>
      </c>
      <c r="E176" s="24" t="inlineStr">
        <is>
          <t>청량시원</t>
        </is>
      </c>
      <c r="F176" s="25" t="inlineStr">
        <is>
          <t>바다</t>
        </is>
      </c>
      <c r="G176" s="24" t="inlineStr">
        <is>
          <t>남돌</t>
        </is>
      </c>
      <c r="H176" s="22" t="n"/>
      <c r="I176" s="22">
        <f>IF($H221="","","https://youtu.be/"&amp;$H221)</f>
        <v/>
      </c>
      <c r="J176" s="22">
        <f>IF($H221="","","https://music.youtube.com/watch?v="&amp;$H221)</f>
        <v/>
      </c>
      <c r="K176" s="22">
        <f>IF($H221="","","https://img.youtube.com/vi/"&amp;$H221&amp;"/hqdefault.jpg")</f>
        <v/>
      </c>
      <c r="L176" s="24" t="inlineStr">
        <is>
          <t>확인필요</t>
        </is>
      </c>
      <c r="M176" s="21" t="inlineStr">
        <is>
          <t>N</t>
        </is>
      </c>
      <c r="N176" s="24" t="inlineStr">
        <is>
          <t>높음</t>
        </is>
      </c>
      <c r="O176" s="25" t="inlineStr">
        <is>
          <t>씨앗(검증 전)</t>
        </is>
      </c>
      <c r="P176" s="22" t="inlineStr">
        <is>
          <t>https://www.youtube.com/results?search_query=NCT%20DREAM%20%EB%A7%9B%20%28Hot%20Sauce%29</t>
        </is>
      </c>
      <c r="Q176" s="22" t="inlineStr">
        <is>
          <t>https://music.youtube.com/search?q=NCT%20DREAM%20%EB%A7%9B%20%28Hot%20Sauce%29</t>
        </is>
      </c>
    </row>
    <row r="177" ht="15" customHeight="1" s="17">
      <c r="A177" s="21" t="inlineStr">
        <is>
          <t>S176</t>
        </is>
      </c>
      <c r="B177" s="25" t="inlineStr">
        <is>
          <t>소리꾼 (Thunderous)</t>
        </is>
      </c>
      <c r="C177" s="25" t="inlineStr">
        <is>
          <t>스트레이키즈</t>
        </is>
      </c>
      <c r="D177" s="23" t="inlineStr">
        <is>
          <t>2021</t>
        </is>
      </c>
      <c r="E177" s="24" t="inlineStr">
        <is>
          <t>청량시원</t>
        </is>
      </c>
      <c r="F177" s="25" t="inlineStr">
        <is>
          <t>드라이브</t>
        </is>
      </c>
      <c r="G177" s="24" t="inlineStr">
        <is>
          <t>남돌</t>
        </is>
      </c>
      <c r="H177" s="22" t="n"/>
      <c r="I177" s="22">
        <f>IF($H222="","","https://youtu.be/"&amp;$H222)</f>
        <v/>
      </c>
      <c r="J177" s="22">
        <f>IF($H222="","","https://music.youtube.com/watch?v="&amp;$H222)</f>
        <v/>
      </c>
      <c r="K177" s="22">
        <f>IF($H222="","","https://img.youtube.com/vi/"&amp;$H222&amp;"/hqdefault.jpg")</f>
        <v/>
      </c>
      <c r="L177" s="24" t="inlineStr">
        <is>
          <t>확인필요</t>
        </is>
      </c>
      <c r="M177" s="21" t="inlineStr">
        <is>
          <t>N</t>
        </is>
      </c>
      <c r="N177" s="24" t="inlineStr">
        <is>
          <t>높음</t>
        </is>
      </c>
      <c r="O177" s="25" t="inlineStr">
        <is>
          <t>씨앗(검증 전)</t>
        </is>
      </c>
      <c r="P177" s="22" t="inlineStr">
        <is>
          <t>https://www.youtube.com/results?search_query=%EC%8A%A4%ED%8A%B8%EB%A0%88%EC%9D%B4%ED%82%A4%EC%A6%88%20%EC%86%8C%EB%A6%AC%EA%BE%BC%20%28Thunderous%29</t>
        </is>
      </c>
      <c r="Q177" s="22" t="inlineStr">
        <is>
          <t>https://music.youtube.com/search?q=%EC%8A%A4%ED%8A%B8%EB%A0%88%EC%9D%B4%ED%82%A4%EC%A6%88%20%EC%86%8C%EB%A6%AC%EA%BE%BC%20%28Thunderous%29</t>
        </is>
      </c>
    </row>
    <row r="178" ht="15" customHeight="1" s="17">
      <c r="A178" s="21" t="inlineStr">
        <is>
          <t>S177</t>
        </is>
      </c>
      <c r="B178" s="22" t="inlineStr">
        <is>
          <t>Home;Run</t>
        </is>
      </c>
      <c r="C178" s="25" t="inlineStr">
        <is>
          <t>세븐틴</t>
        </is>
      </c>
      <c r="D178" s="23" t="inlineStr">
        <is>
          <t>2020</t>
        </is>
      </c>
      <c r="E178" s="24" t="inlineStr">
        <is>
          <t>청량시원</t>
        </is>
      </c>
      <c r="F178" s="25" t="inlineStr">
        <is>
          <t>바다</t>
        </is>
      </c>
      <c r="G178" s="24" t="inlineStr">
        <is>
          <t>남돌</t>
        </is>
      </c>
      <c r="H178" s="22" t="n"/>
      <c r="I178" s="22">
        <f>IF($H223="","","https://youtu.be/"&amp;$H223)</f>
        <v/>
      </c>
      <c r="J178" s="22">
        <f>IF($H223="","","https://music.youtube.com/watch?v="&amp;$H223)</f>
        <v/>
      </c>
      <c r="K178" s="22">
        <f>IF($H223="","","https://img.youtube.com/vi/"&amp;$H223&amp;"/hqdefault.jpg")</f>
        <v/>
      </c>
      <c r="L178" s="24" t="inlineStr">
        <is>
          <t>확인필요</t>
        </is>
      </c>
      <c r="M178" s="21" t="inlineStr">
        <is>
          <t>N</t>
        </is>
      </c>
      <c r="N178" s="24" t="inlineStr">
        <is>
          <t>높음</t>
        </is>
      </c>
      <c r="O178" s="25" t="inlineStr">
        <is>
          <t>씨앗(검증 전)</t>
        </is>
      </c>
      <c r="P178" s="22" t="inlineStr">
        <is>
          <t>https://www.youtube.com/results?search_query=%EC%84%B8%EB%B8%90%ED%8B%B4%20Home%3BRun</t>
        </is>
      </c>
      <c r="Q178" s="22" t="inlineStr">
        <is>
          <t>https://music.youtube.com/search?q=%EC%84%B8%EB%B8%90%ED%8B%B4%20Home%3BRun</t>
        </is>
      </c>
    </row>
    <row r="179" ht="15" customHeight="1" s="17">
      <c r="A179" s="21" t="inlineStr">
        <is>
          <t>S178</t>
        </is>
      </c>
      <c r="B179" s="22" t="inlineStr">
        <is>
          <t>Left &amp; Right</t>
        </is>
      </c>
      <c r="C179" s="25" t="inlineStr">
        <is>
          <t>세븐틴</t>
        </is>
      </c>
      <c r="D179" s="23" t="inlineStr">
        <is>
          <t>2020</t>
        </is>
      </c>
      <c r="E179" s="24" t="inlineStr">
        <is>
          <t>청량시원</t>
        </is>
      </c>
      <c r="F179" s="25" t="inlineStr">
        <is>
          <t>바다, 드라이브</t>
        </is>
      </c>
      <c r="G179" s="24" t="inlineStr">
        <is>
          <t>남돌</t>
        </is>
      </c>
      <c r="H179" s="22" t="n"/>
      <c r="I179" s="22">
        <f>IF($H224="","","https://youtu.be/"&amp;$H224)</f>
        <v/>
      </c>
      <c r="J179" s="22">
        <f>IF($H224="","","https://music.youtube.com/watch?v="&amp;$H224)</f>
        <v/>
      </c>
      <c r="K179" s="22">
        <f>IF($H224="","","https://img.youtube.com/vi/"&amp;$H224&amp;"/hqdefault.jpg")</f>
        <v/>
      </c>
      <c r="L179" s="24" t="inlineStr">
        <is>
          <t>확인필요</t>
        </is>
      </c>
      <c r="M179" s="21" t="inlineStr">
        <is>
          <t>N</t>
        </is>
      </c>
      <c r="N179" s="24" t="inlineStr">
        <is>
          <t>높음</t>
        </is>
      </c>
      <c r="O179" s="25" t="inlineStr">
        <is>
          <t>씨앗(검증 전)</t>
        </is>
      </c>
      <c r="P179" s="22" t="inlineStr">
        <is>
          <t>https://www.youtube.com/results?search_query=%EC%84%B8%EB%B8%90%ED%8B%B4%20Left%20%26%20Right</t>
        </is>
      </c>
      <c r="Q179" s="22" t="inlineStr">
        <is>
          <t>https://music.youtube.com/search?q=%EC%84%B8%EB%B8%90%ED%8B%B4%20Left%20%26%20Right</t>
        </is>
      </c>
    </row>
    <row r="180" ht="15" customHeight="1" s="17">
      <c r="A180" s="21" t="inlineStr">
        <is>
          <t>S179</t>
        </is>
      </c>
      <c r="B180" s="22" t="inlineStr">
        <is>
          <t>Make A Wish</t>
        </is>
      </c>
      <c r="C180" s="22" t="inlineStr">
        <is>
          <t>NCT U</t>
        </is>
      </c>
      <c r="D180" s="23" t="inlineStr">
        <is>
          <t>2020</t>
        </is>
      </c>
      <c r="E180" s="24" t="inlineStr">
        <is>
          <t>청량시원</t>
        </is>
      </c>
      <c r="F180" s="25" t="inlineStr">
        <is>
          <t>바다</t>
        </is>
      </c>
      <c r="G180" s="24" t="inlineStr">
        <is>
          <t>남돌</t>
        </is>
      </c>
      <c r="H180" s="22" t="n"/>
      <c r="I180" s="22">
        <f>IF($H225="","","https://youtu.be/"&amp;$H225)</f>
        <v/>
      </c>
      <c r="J180" s="22">
        <f>IF($H225="","","https://music.youtube.com/watch?v="&amp;$H225)</f>
        <v/>
      </c>
      <c r="K180" s="22">
        <f>IF($H225="","","https://img.youtube.com/vi/"&amp;$H225&amp;"/hqdefault.jpg")</f>
        <v/>
      </c>
      <c r="L180" s="24" t="inlineStr">
        <is>
          <t>확인필요</t>
        </is>
      </c>
      <c r="M180" s="21" t="inlineStr">
        <is>
          <t>N</t>
        </is>
      </c>
      <c r="N180" s="24" t="inlineStr">
        <is>
          <t>높음</t>
        </is>
      </c>
      <c r="O180" s="25" t="inlineStr">
        <is>
          <t>씨앗(검증 전)</t>
        </is>
      </c>
      <c r="P180" s="22" t="inlineStr">
        <is>
          <t>https://www.youtube.com/results?search_query=NCT%20U%20Make%20A%20Wish</t>
        </is>
      </c>
      <c r="Q180" s="22" t="inlineStr">
        <is>
          <t>https://music.youtube.com/search?q=NCT%20U%20Make%20A%20Wish</t>
        </is>
      </c>
    </row>
    <row r="181" ht="15" customHeight="1" s="17">
      <c r="A181" s="21" t="inlineStr">
        <is>
          <t>S180</t>
        </is>
      </c>
      <c r="B181" s="22" t="inlineStr">
        <is>
          <t>Ridin'</t>
        </is>
      </c>
      <c r="C181" s="22" t="inlineStr">
        <is>
          <t>NCT DREAM</t>
        </is>
      </c>
      <c r="D181" s="23" t="inlineStr">
        <is>
          <t>2020</t>
        </is>
      </c>
      <c r="E181" s="24" t="inlineStr">
        <is>
          <t>청량시원</t>
        </is>
      </c>
      <c r="F181" s="25" t="inlineStr">
        <is>
          <t>드라이브</t>
        </is>
      </c>
      <c r="G181" s="24" t="inlineStr">
        <is>
          <t>남돌</t>
        </is>
      </c>
      <c r="H181" s="22" t="n"/>
      <c r="I181" s="22">
        <f>IF($H226="","","https://youtu.be/"&amp;$H226)</f>
        <v/>
      </c>
      <c r="J181" s="22">
        <f>IF($H226="","","https://music.youtube.com/watch?v="&amp;$H226)</f>
        <v/>
      </c>
      <c r="K181" s="22">
        <f>IF($H226="","","https://img.youtube.com/vi/"&amp;$H226&amp;"/hqdefault.jpg")</f>
        <v/>
      </c>
      <c r="L181" s="24" t="inlineStr">
        <is>
          <t>확인필요</t>
        </is>
      </c>
      <c r="M181" s="21" t="inlineStr">
        <is>
          <t>N</t>
        </is>
      </c>
      <c r="N181" s="24" t="inlineStr">
        <is>
          <t>높음</t>
        </is>
      </c>
      <c r="O181" s="25" t="inlineStr">
        <is>
          <t>씨앗(검증 전)</t>
        </is>
      </c>
      <c r="P181" s="22" t="inlineStr">
        <is>
          <t>https://www.youtube.com/results?search_query=NCT%20DREAM%20Ridin%27</t>
        </is>
      </c>
      <c r="Q181" s="22" t="inlineStr">
        <is>
          <t>https://music.youtube.com/search?q=NCT%20DREAM%20Ridin%27</t>
        </is>
      </c>
    </row>
    <row r="182" ht="15" customHeight="1" s="17">
      <c r="A182" s="21" t="inlineStr">
        <is>
          <t>S181</t>
        </is>
      </c>
      <c r="B182" s="25" t="inlineStr">
        <is>
          <t>神메뉴 (God's Menu)</t>
        </is>
      </c>
      <c r="C182" s="25" t="inlineStr">
        <is>
          <t>스트레이키즈</t>
        </is>
      </c>
      <c r="D182" s="23" t="inlineStr">
        <is>
          <t>2020</t>
        </is>
      </c>
      <c r="E182" s="24" t="inlineStr">
        <is>
          <t>청량시원</t>
        </is>
      </c>
      <c r="F182" s="25" t="inlineStr">
        <is>
          <t>바다</t>
        </is>
      </c>
      <c r="G182" s="24" t="inlineStr">
        <is>
          <t>남돌</t>
        </is>
      </c>
      <c r="H182" s="22" t="n"/>
      <c r="I182" s="22">
        <f>IF($H227="","","https://youtu.be/"&amp;$H227)</f>
        <v/>
      </c>
      <c r="J182" s="22">
        <f>IF($H227="","","https://music.youtube.com/watch?v="&amp;$H227)</f>
        <v/>
      </c>
      <c r="K182" s="22">
        <f>IF($H227="","","https://img.youtube.com/vi/"&amp;$H227&amp;"/hqdefault.jpg")</f>
        <v/>
      </c>
      <c r="L182" s="24" t="inlineStr">
        <is>
          <t>확인필요</t>
        </is>
      </c>
      <c r="M182" s="21" t="inlineStr">
        <is>
          <t>N</t>
        </is>
      </c>
      <c r="N182" s="24" t="inlineStr">
        <is>
          <t>높음</t>
        </is>
      </c>
      <c r="O182" s="25" t="inlineStr">
        <is>
          <t>씨앗(검증 전)</t>
        </is>
      </c>
      <c r="P182" s="22" t="inlineStr">
        <is>
          <t>https://www.youtube.com/results?search_query=%EC%8A%A4%ED%8A%B8%EB%A0%88%EC%9D%B4%ED%82%A4%EC%A6%88%20%E7%A5%9E%EB%A9%94%EB%89%B4%20%28God%27s%20Menu%29</t>
        </is>
      </c>
      <c r="Q182" s="22" t="inlineStr">
        <is>
          <t>https://music.youtube.com/search?q=%EC%8A%A4%ED%8A%B8%EB%A0%88%EC%9D%B4%ED%82%A4%EC%A6%88%20%E7%A5%9E%EB%A9%94%EB%89%B4%20%28God%27s%20Menu%29</t>
        </is>
      </c>
    </row>
    <row r="183" ht="15" customHeight="1" s="17">
      <c r="A183" s="21" t="inlineStr">
        <is>
          <t>S182</t>
        </is>
      </c>
      <c r="B183" s="25" t="inlineStr">
        <is>
          <t>영웅 (Kick It)</t>
        </is>
      </c>
      <c r="C183" s="22" t="inlineStr">
        <is>
          <t>NCT 127</t>
        </is>
      </c>
      <c r="D183" s="23" t="inlineStr">
        <is>
          <t>2020</t>
        </is>
      </c>
      <c r="E183" s="24" t="inlineStr">
        <is>
          <t>청량시원</t>
        </is>
      </c>
      <c r="F183" s="25" t="inlineStr">
        <is>
          <t>바다</t>
        </is>
      </c>
      <c r="G183" s="24" t="inlineStr">
        <is>
          <t>남돌</t>
        </is>
      </c>
      <c r="H183" s="22" t="n"/>
      <c r="I183" s="22">
        <f>IF($H228="","","https://youtu.be/"&amp;$H228)</f>
        <v/>
      </c>
      <c r="J183" s="22">
        <f>IF($H228="","","https://music.youtube.com/watch?v="&amp;$H228)</f>
        <v/>
      </c>
      <c r="K183" s="22">
        <f>IF($H228="","","https://img.youtube.com/vi/"&amp;$H228&amp;"/hqdefault.jpg")</f>
        <v/>
      </c>
      <c r="L183" s="24" t="inlineStr">
        <is>
          <t>확인필요</t>
        </is>
      </c>
      <c r="M183" s="21" t="inlineStr">
        <is>
          <t>N</t>
        </is>
      </c>
      <c r="N183" s="24" t="inlineStr">
        <is>
          <t>높음</t>
        </is>
      </c>
      <c r="O183" s="25" t="inlineStr">
        <is>
          <t>씨앗(검증 전)</t>
        </is>
      </c>
      <c r="P183" s="22" t="inlineStr">
        <is>
          <t>https://www.youtube.com/results?search_query=NCT%20127%20%EC%98%81%EC%9B%85%20%28Kick%20It%29</t>
        </is>
      </c>
      <c r="Q183" s="22" t="inlineStr">
        <is>
          <t>https://music.youtube.com/search?q=NCT%20127%20%EC%98%81%EC%9B%85%20%28Kick%20It%29</t>
        </is>
      </c>
    </row>
    <row r="184" ht="15" customHeight="1" s="17">
      <c r="A184" s="21" t="inlineStr">
        <is>
          <t>S183</t>
        </is>
      </c>
      <c r="B184" s="22" t="inlineStr">
        <is>
          <t>Alligator</t>
        </is>
      </c>
      <c r="C184" s="25" t="inlineStr">
        <is>
          <t>몬스타엑스</t>
        </is>
      </c>
      <c r="D184" s="23" t="inlineStr">
        <is>
          <t>2019</t>
        </is>
      </c>
      <c r="E184" s="24" t="inlineStr">
        <is>
          <t>청량시원</t>
        </is>
      </c>
      <c r="F184" s="25" t="inlineStr">
        <is>
          <t>바다, 드라이브</t>
        </is>
      </c>
      <c r="G184" s="24" t="inlineStr">
        <is>
          <t>남돌</t>
        </is>
      </c>
      <c r="H184" s="22" t="n"/>
      <c r="I184" s="22">
        <f>IF($H229="","","https://youtu.be/"&amp;$H229)</f>
        <v/>
      </c>
      <c r="J184" s="22">
        <f>IF($H229="","","https://music.youtube.com/watch?v="&amp;$H229)</f>
        <v/>
      </c>
      <c r="K184" s="22">
        <f>IF($H229="","","https://img.youtube.com/vi/"&amp;$H229&amp;"/hqdefault.jpg")</f>
        <v/>
      </c>
      <c r="L184" s="24" t="inlineStr">
        <is>
          <t>확인필요</t>
        </is>
      </c>
      <c r="M184" s="21" t="inlineStr">
        <is>
          <t>N</t>
        </is>
      </c>
      <c r="N184" s="24" t="inlineStr">
        <is>
          <t>높음</t>
        </is>
      </c>
      <c r="O184" s="25" t="inlineStr">
        <is>
          <t>씨앗(검증 전)</t>
        </is>
      </c>
      <c r="P184" s="22" t="inlineStr">
        <is>
          <t>https://www.youtube.com/results?search_query=%EB%AA%AC%EC%8A%A4%ED%83%80%EC%97%91%EC%8A%A4%20Alligator</t>
        </is>
      </c>
      <c r="Q184" s="22" t="inlineStr">
        <is>
          <t>https://music.youtube.com/search?q=%EB%AA%AC%EC%8A%A4%ED%83%80%EC%97%91%EC%8A%A4%20Alligator</t>
        </is>
      </c>
    </row>
    <row r="185" ht="15" customHeight="1" s="17">
      <c r="A185" s="21" t="inlineStr">
        <is>
          <t>S184</t>
        </is>
      </c>
      <c r="B185" s="22" t="inlineStr">
        <is>
          <t>BET BET</t>
        </is>
      </c>
      <c r="C185" s="25" t="inlineStr">
        <is>
          <t>뉴이스트</t>
        </is>
      </c>
      <c r="D185" s="23" t="inlineStr">
        <is>
          <t>2019</t>
        </is>
      </c>
      <c r="E185" s="24" t="inlineStr">
        <is>
          <t>청량시원</t>
        </is>
      </c>
      <c r="F185" s="25" t="inlineStr">
        <is>
          <t>바다, 드라이브</t>
        </is>
      </c>
      <c r="G185" s="24" t="inlineStr">
        <is>
          <t>남돌</t>
        </is>
      </c>
      <c r="H185" s="22" t="n"/>
      <c r="I185" s="22">
        <f>IF($H230="","","https://youtu.be/"&amp;$H230)</f>
        <v/>
      </c>
      <c r="J185" s="22">
        <f>IF($H230="","","https://music.youtube.com/watch?v="&amp;$H230)</f>
        <v/>
      </c>
      <c r="K185" s="22">
        <f>IF($H230="","","https://img.youtube.com/vi/"&amp;$H230&amp;"/hqdefault.jpg")</f>
        <v/>
      </c>
      <c r="L185" s="24" t="inlineStr">
        <is>
          <t>확인필요</t>
        </is>
      </c>
      <c r="M185" s="21" t="inlineStr">
        <is>
          <t>N</t>
        </is>
      </c>
      <c r="N185" s="24" t="inlineStr">
        <is>
          <t>높음</t>
        </is>
      </c>
      <c r="O185" s="25" t="inlineStr">
        <is>
          <t>씨앗(검증 전)</t>
        </is>
      </c>
      <c r="P185" s="22" t="inlineStr">
        <is>
          <t>https://www.youtube.com/results?search_query=%EB%89%B4%EC%9D%B4%EC%8A%A4%ED%8A%B8%20BET%20BET</t>
        </is>
      </c>
      <c r="Q185" s="22" t="inlineStr">
        <is>
          <t>https://music.youtube.com/search?q=%EB%89%B4%EC%9D%B4%EC%8A%A4%ED%8A%B8%20BET%20BET</t>
        </is>
      </c>
    </row>
    <row r="186" ht="15" customHeight="1" s="17">
      <c r="A186" s="21" t="inlineStr">
        <is>
          <t>S185</t>
        </is>
      </c>
      <c r="B186" s="22" t="inlineStr">
        <is>
          <t>Follow</t>
        </is>
      </c>
      <c r="C186" s="25" t="inlineStr">
        <is>
          <t>몬스타엑스</t>
        </is>
      </c>
      <c r="D186" s="23" t="inlineStr">
        <is>
          <t>2019</t>
        </is>
      </c>
      <c r="E186" s="24" t="inlineStr">
        <is>
          <t>청량시원</t>
        </is>
      </c>
      <c r="F186" s="25" t="inlineStr">
        <is>
          <t>바다</t>
        </is>
      </c>
      <c r="G186" s="24" t="inlineStr">
        <is>
          <t>남돌</t>
        </is>
      </c>
      <c r="H186" s="22" t="n"/>
      <c r="I186" s="22">
        <f>IF($H231="","","https://youtu.be/"&amp;$H231)</f>
        <v/>
      </c>
      <c r="J186" s="22">
        <f>IF($H231="","","https://music.youtube.com/watch?v="&amp;$H231)</f>
        <v/>
      </c>
      <c r="K186" s="22">
        <f>IF($H231="","","https://img.youtube.com/vi/"&amp;$H231&amp;"/hqdefault.jpg")</f>
        <v/>
      </c>
      <c r="L186" s="24" t="inlineStr">
        <is>
          <t>확인필요</t>
        </is>
      </c>
      <c r="M186" s="21" t="inlineStr">
        <is>
          <t>N</t>
        </is>
      </c>
      <c r="N186" s="24" t="inlineStr">
        <is>
          <t>높음</t>
        </is>
      </c>
      <c r="O186" s="25" t="inlineStr">
        <is>
          <t>씨앗(검증 전)</t>
        </is>
      </c>
      <c r="P186" s="22" t="inlineStr">
        <is>
          <t>https://www.youtube.com/results?search_query=%EB%AA%AC%EC%8A%A4%ED%83%80%EC%97%91%EC%8A%A4%20Follow</t>
        </is>
      </c>
      <c r="Q186" s="22" t="inlineStr">
        <is>
          <t>https://music.youtube.com/search?q=%EB%AA%AC%EC%8A%A4%ED%83%80%EC%97%91%EC%8A%A4%20Follow</t>
        </is>
      </c>
    </row>
    <row r="187" ht="15" customHeight="1" s="17">
      <c r="A187" s="21" t="inlineStr">
        <is>
          <t>S186</t>
        </is>
      </c>
      <c r="B187" s="22" t="inlineStr">
        <is>
          <t>Wonderland</t>
        </is>
      </c>
      <c r="C187" s="25" t="inlineStr">
        <is>
          <t>에이티즈</t>
        </is>
      </c>
      <c r="D187" s="23" t="inlineStr">
        <is>
          <t>2019</t>
        </is>
      </c>
      <c r="E187" s="24" t="inlineStr">
        <is>
          <t>청량시원</t>
        </is>
      </c>
      <c r="F187" s="25" t="inlineStr">
        <is>
          <t>바다, 드라이브</t>
        </is>
      </c>
      <c r="G187" s="24" t="inlineStr">
        <is>
          <t>남돌</t>
        </is>
      </c>
      <c r="H187" s="22" t="n"/>
      <c r="I187" s="22">
        <f>IF($H232="","","https://youtu.be/"&amp;$H232)</f>
        <v/>
      </c>
      <c r="J187" s="22">
        <f>IF($H232="","","https://music.youtube.com/watch?v="&amp;$H232)</f>
        <v/>
      </c>
      <c r="K187" s="22">
        <f>IF($H232="","","https://img.youtube.com/vi/"&amp;$H232&amp;"/hqdefault.jpg")</f>
        <v/>
      </c>
      <c r="L187" s="24" t="inlineStr">
        <is>
          <t>확인필요</t>
        </is>
      </c>
      <c r="M187" s="21" t="inlineStr">
        <is>
          <t>N</t>
        </is>
      </c>
      <c r="N187" s="24" t="inlineStr">
        <is>
          <t>높음</t>
        </is>
      </c>
      <c r="O187" s="25" t="inlineStr">
        <is>
          <t>씨앗(검증 전)</t>
        </is>
      </c>
      <c r="P187" s="22" t="inlineStr">
        <is>
          <t>https://www.youtube.com/results?search_query=%EC%97%90%EC%9D%B4%ED%8B%B0%EC%A6%88%20Wonderland</t>
        </is>
      </c>
      <c r="Q187" s="22" t="inlineStr">
        <is>
          <t>https://music.youtube.com/search?q=%EC%97%90%EC%9D%B4%ED%8B%B0%EC%A6%88%20Wonderland</t>
        </is>
      </c>
    </row>
    <row r="188" ht="15" customHeight="1" s="17">
      <c r="A188" s="21" t="inlineStr">
        <is>
          <t>S187</t>
        </is>
      </c>
      <c r="B188" s="25" t="inlineStr">
        <is>
          <t>아일랜드 (Island)</t>
        </is>
      </c>
      <c r="C188" s="25" t="inlineStr">
        <is>
          <t>위너</t>
        </is>
      </c>
      <c r="D188" s="23" t="inlineStr">
        <is>
          <t>2019</t>
        </is>
      </c>
      <c r="E188" s="24" t="inlineStr">
        <is>
          <t>청량시원</t>
        </is>
      </c>
      <c r="F188" s="25" t="inlineStr">
        <is>
          <t>바다</t>
        </is>
      </c>
      <c r="G188" s="24" t="inlineStr">
        <is>
          <t>남돌</t>
        </is>
      </c>
      <c r="H188" s="22" t="n"/>
      <c r="I188" s="22">
        <f>IF($H233="","","https://youtu.be/"&amp;$H233)</f>
        <v/>
      </c>
      <c r="J188" s="22">
        <f>IF($H233="","","https://music.youtube.com/watch?v="&amp;$H233)</f>
        <v/>
      </c>
      <c r="K188" s="22">
        <f>IF($H233="","","https://img.youtube.com/vi/"&amp;$H233&amp;"/hqdefault.jpg")</f>
        <v/>
      </c>
      <c r="L188" s="24" t="inlineStr">
        <is>
          <t>확인필요</t>
        </is>
      </c>
      <c r="M188" s="21" t="inlineStr">
        <is>
          <t>N</t>
        </is>
      </c>
      <c r="N188" s="24" t="inlineStr">
        <is>
          <t>높음</t>
        </is>
      </c>
      <c r="O188" s="25" t="inlineStr">
        <is>
          <t>씨앗(검증 전)</t>
        </is>
      </c>
      <c r="P188" s="22" t="inlineStr">
        <is>
          <t>https://www.youtube.com/results?search_query=%EC%9C%84%EB%84%88%20%EC%95%84%EC%9D%BC%EB%9E%9C%EB%93%9C%20%28Island%29</t>
        </is>
      </c>
      <c r="Q188" s="22" t="inlineStr">
        <is>
          <t>https://music.youtube.com/search?q=%EC%9C%84%EB%84%88%20%EC%95%84%EC%9D%BC%EB%9E%9C%EB%93%9C%20%28Island%29</t>
        </is>
      </c>
    </row>
    <row r="189" ht="15" customHeight="1" s="17">
      <c r="A189" s="21" t="inlineStr">
        <is>
          <t>S188</t>
        </is>
      </c>
      <c r="B189" s="22" t="inlineStr">
        <is>
          <t>Everybody</t>
        </is>
      </c>
      <c r="C189" s="25" t="inlineStr">
        <is>
          <t>샤이니</t>
        </is>
      </c>
      <c r="D189" s="23" t="inlineStr">
        <is>
          <t>2013</t>
        </is>
      </c>
      <c r="E189" s="24" t="inlineStr">
        <is>
          <t>청량시원</t>
        </is>
      </c>
      <c r="F189" s="25" t="inlineStr">
        <is>
          <t>드라이브</t>
        </is>
      </c>
      <c r="G189" s="24" t="inlineStr">
        <is>
          <t>남돌</t>
        </is>
      </c>
      <c r="H189" s="22" t="n"/>
      <c r="I189" s="22">
        <f>IF($H262="","","https://youtu.be/"&amp;$H262)</f>
        <v/>
      </c>
      <c r="J189" s="22">
        <f>IF($H262="","","https://music.youtube.com/watch?v="&amp;$H262)</f>
        <v/>
      </c>
      <c r="K189" s="22">
        <f>IF($H262="","","https://img.youtube.com/vi/"&amp;$H262&amp;"/hqdefault.jpg")</f>
        <v/>
      </c>
      <c r="L189" s="24" t="inlineStr">
        <is>
          <t>확인필요</t>
        </is>
      </c>
      <c r="M189" s="21" t="inlineStr">
        <is>
          <t>N</t>
        </is>
      </c>
      <c r="N189" s="24" t="inlineStr">
        <is>
          <t>높음</t>
        </is>
      </c>
      <c r="O189" s="25" t="inlineStr">
        <is>
          <t>씨앗(검증 전)</t>
        </is>
      </c>
      <c r="P189" s="22" t="inlineStr">
        <is>
          <t>https://www.youtube.com/results?search_query=%EC%83%A4%EC%9D%B4%EB%8B%88%20Everybody</t>
        </is>
      </c>
      <c r="Q189" s="22" t="inlineStr">
        <is>
          <t>https://music.youtube.com/search?q=%EC%83%A4%EC%9D%B4%EB%8B%88%20Everybody</t>
        </is>
      </c>
    </row>
    <row r="190" ht="15" customHeight="1" s="17">
      <c r="A190" s="21" t="inlineStr">
        <is>
          <t>S189</t>
        </is>
      </c>
      <c r="B190" s="22" t="inlineStr">
        <is>
          <t>FANTASTIC BABY</t>
        </is>
      </c>
      <c r="C190" s="25" t="inlineStr">
        <is>
          <t>빅뱅</t>
        </is>
      </c>
      <c r="D190" s="23" t="inlineStr">
        <is>
          <t>2012</t>
        </is>
      </c>
      <c r="E190" s="24" t="inlineStr">
        <is>
          <t>청량시원</t>
        </is>
      </c>
      <c r="F190" s="25" t="inlineStr">
        <is>
          <t>드라이브</t>
        </is>
      </c>
      <c r="G190" s="24" t="inlineStr">
        <is>
          <t>남돌</t>
        </is>
      </c>
      <c r="H190" s="22" t="n"/>
      <c r="I190" s="22">
        <f>IF($H263="","","https://youtu.be/"&amp;$H263)</f>
        <v/>
      </c>
      <c r="J190" s="22">
        <f>IF($H263="","","https://music.youtube.com/watch?v="&amp;$H263)</f>
        <v/>
      </c>
      <c r="K190" s="22">
        <f>IF($H263="","","https://img.youtube.com/vi/"&amp;$H263&amp;"/hqdefault.jpg")</f>
        <v/>
      </c>
      <c r="L190" s="24" t="inlineStr">
        <is>
          <t>확인필요</t>
        </is>
      </c>
      <c r="M190" s="21" t="inlineStr">
        <is>
          <t>N</t>
        </is>
      </c>
      <c r="N190" s="24" t="inlineStr">
        <is>
          <t>높음</t>
        </is>
      </c>
      <c r="O190" s="25" t="inlineStr">
        <is>
          <t>씨앗(검증 전)</t>
        </is>
      </c>
      <c r="P190" s="22" t="inlineStr">
        <is>
          <t>https://www.youtube.com/results?search_query=%EB%B9%85%EB%B1%85%20FANTASTIC%20BABY</t>
        </is>
      </c>
      <c r="Q190" s="22" t="inlineStr">
        <is>
          <t>https://music.youtube.com/search?q=%EB%B9%85%EB%B1%85%20FANTASTIC%20BABY</t>
        </is>
      </c>
    </row>
    <row r="191" ht="15" customHeight="1" s="17">
      <c r="A191" s="21" t="inlineStr">
        <is>
          <t>S190</t>
        </is>
      </c>
      <c r="B191" s="22" t="inlineStr">
        <is>
          <t>Sherlock (셜록)</t>
        </is>
      </c>
      <c r="C191" s="25" t="inlineStr">
        <is>
          <t>샤이니</t>
        </is>
      </c>
      <c r="D191" s="23" t="inlineStr">
        <is>
          <t>2012</t>
        </is>
      </c>
      <c r="E191" s="24" t="inlineStr">
        <is>
          <t>청량시원</t>
        </is>
      </c>
      <c r="F191" s="25" t="inlineStr">
        <is>
          <t>바다</t>
        </is>
      </c>
      <c r="G191" s="24" t="inlineStr">
        <is>
          <t>남돌</t>
        </is>
      </c>
      <c r="H191" s="22" t="n"/>
      <c r="I191" s="22">
        <f>IF($H264="","","https://youtu.be/"&amp;$H264)</f>
        <v/>
      </c>
      <c r="J191" s="22">
        <f>IF($H264="","","https://music.youtube.com/watch?v="&amp;$H264)</f>
        <v/>
      </c>
      <c r="K191" s="22">
        <f>IF($H264="","","https://img.youtube.com/vi/"&amp;$H264&amp;"/hqdefault.jpg")</f>
        <v/>
      </c>
      <c r="L191" s="24" t="inlineStr">
        <is>
          <t>확인필요</t>
        </is>
      </c>
      <c r="M191" s="21" t="inlineStr">
        <is>
          <t>N</t>
        </is>
      </c>
      <c r="N191" s="24" t="inlineStr">
        <is>
          <t>높음</t>
        </is>
      </c>
      <c r="O191" s="25" t="inlineStr">
        <is>
          <t>씨앗(검증 전)</t>
        </is>
      </c>
      <c r="P191" s="22" t="inlineStr">
        <is>
          <t>https://www.youtube.com/results?search_query=%EC%83%A4%EC%9D%B4%EB%8B%88%20Sherlock%20%28%EC%85%9C%EB%A1%9D%29</t>
        </is>
      </c>
      <c r="Q191" s="22" t="inlineStr">
        <is>
          <t>https://music.youtube.com/search?q=%EC%83%A4%EC%9D%B4%EB%8B%88%20Sherlock%20%28%EC%85%9C%EB%A1%9D%29</t>
        </is>
      </c>
    </row>
    <row r="192" ht="15" customHeight="1" s="17">
      <c r="A192" s="21" t="inlineStr">
        <is>
          <t>S191</t>
        </is>
      </c>
      <c r="B192" s="25" t="inlineStr">
        <is>
          <t>추격자 (The Chaser)</t>
        </is>
      </c>
      <c r="C192" s="25" t="inlineStr">
        <is>
          <t>인피니트</t>
        </is>
      </c>
      <c r="D192" s="23" t="inlineStr">
        <is>
          <t>2012</t>
        </is>
      </c>
      <c r="E192" s="24" t="inlineStr">
        <is>
          <t>청량시원</t>
        </is>
      </c>
      <c r="F192" s="25" t="inlineStr">
        <is>
          <t>드라이브</t>
        </is>
      </c>
      <c r="G192" s="24" t="inlineStr">
        <is>
          <t>남돌</t>
        </is>
      </c>
      <c r="H192" s="22" t="n"/>
      <c r="I192" s="22">
        <f>IF($H265="","","https://youtu.be/"&amp;$H265)</f>
        <v/>
      </c>
      <c r="J192" s="22">
        <f>IF($H265="","","https://music.youtube.com/watch?v="&amp;$H265)</f>
        <v/>
      </c>
      <c r="K192" s="22">
        <f>IF($H265="","","https://img.youtube.com/vi/"&amp;$H265&amp;"/hqdefault.jpg")</f>
        <v/>
      </c>
      <c r="L192" s="24" t="inlineStr">
        <is>
          <t>확인필요</t>
        </is>
      </c>
      <c r="M192" s="21" t="inlineStr">
        <is>
          <t>N</t>
        </is>
      </c>
      <c r="N192" s="24" t="inlineStr">
        <is>
          <t>높음</t>
        </is>
      </c>
      <c r="O192" s="25" t="inlineStr">
        <is>
          <t>씨앗(검증 전)</t>
        </is>
      </c>
      <c r="P192" s="22" t="inlineStr">
        <is>
          <t>https://www.youtube.com/results?search_query=%EC%9D%B8%ED%94%BC%EB%8B%88%ED%8A%B8%20%EC%B6%94%EA%B2%A9%EC%9E%90%20%28The%20Chaser%29</t>
        </is>
      </c>
      <c r="Q192" s="22" t="inlineStr">
        <is>
          <t>https://music.youtube.com/search?q=%EC%9D%B8%ED%94%BC%EB%8B%88%ED%8A%B8%20%EC%B6%94%EA%B2%A9%EC%9E%90%20%28The%20Chaser%29</t>
        </is>
      </c>
    </row>
    <row r="193" ht="15" customHeight="1" s="17">
      <c r="A193" s="21" t="inlineStr">
        <is>
          <t>S192</t>
        </is>
      </c>
      <c r="B193" s="22" t="inlineStr">
        <is>
          <t>Love 119</t>
        </is>
      </c>
      <c r="C193" s="22" t="inlineStr">
        <is>
          <t>RIIZE</t>
        </is>
      </c>
      <c r="D193" s="23" t="inlineStr">
        <is>
          <t>2024</t>
        </is>
      </c>
      <c r="E193" s="24" t="inlineStr">
        <is>
          <t>설렘두근</t>
        </is>
      </c>
      <c r="F193" s="25" t="inlineStr">
        <is>
          <t>밤바다</t>
        </is>
      </c>
      <c r="G193" s="24" t="inlineStr">
        <is>
          <t>남돌</t>
        </is>
      </c>
      <c r="H193" s="22" t="n"/>
      <c r="I193" s="22">
        <f>IF($H267="","","https://youtu.be/"&amp;$H267)</f>
        <v/>
      </c>
      <c r="J193" s="22">
        <f>IF($H267="","","https://music.youtube.com/watch?v="&amp;$H267)</f>
        <v/>
      </c>
      <c r="K193" s="22">
        <f>IF($H267="","","https://img.youtube.com/vi/"&amp;$H267&amp;"/hqdefault.jpg")</f>
        <v/>
      </c>
      <c r="L193" s="24" t="inlineStr">
        <is>
          <t>확인필요</t>
        </is>
      </c>
      <c r="M193" s="21" t="inlineStr">
        <is>
          <t>N</t>
        </is>
      </c>
      <c r="N193" s="24" t="inlineStr">
        <is>
          <t>높음</t>
        </is>
      </c>
      <c r="O193" s="25" t="inlineStr">
        <is>
          <t>씨앗(검증 전)</t>
        </is>
      </c>
      <c r="P193" s="22" t="inlineStr">
        <is>
          <t>https://www.youtube.com/results?search_query=RIIZE%20Love%20119</t>
        </is>
      </c>
      <c r="Q193" s="22" t="inlineStr">
        <is>
          <t>https://music.youtube.com/search?q=RIIZE%20Love%20119</t>
        </is>
      </c>
    </row>
    <row r="194" ht="15" customHeight="1" s="17">
      <c r="A194" s="21" t="inlineStr">
        <is>
          <t>S193</t>
        </is>
      </c>
      <c r="B194" s="22" t="inlineStr">
        <is>
          <t>But I Like You</t>
        </is>
      </c>
      <c r="C194" s="25" t="inlineStr">
        <is>
          <t>보이넥스트도어</t>
        </is>
      </c>
      <c r="D194" s="23" t="inlineStr">
        <is>
          <t>2023</t>
        </is>
      </c>
      <c r="E194" s="24" t="inlineStr">
        <is>
          <t>설렘두근</t>
        </is>
      </c>
      <c r="F194" s="25" t="inlineStr">
        <is>
          <t>밤바다</t>
        </is>
      </c>
      <c r="G194" s="24" t="inlineStr">
        <is>
          <t>남돌</t>
        </is>
      </c>
      <c r="H194" s="22" t="n"/>
      <c r="I194" s="22">
        <f>IF($H268="","","https://youtu.be/"&amp;$H268)</f>
        <v/>
      </c>
      <c r="J194" s="22">
        <f>IF($H268="","","https://music.youtube.com/watch?v="&amp;$H268)</f>
        <v/>
      </c>
      <c r="K194" s="22">
        <f>IF($H268="","","https://img.youtube.com/vi/"&amp;$H268&amp;"/hqdefault.jpg")</f>
        <v/>
      </c>
      <c r="L194" s="24" t="inlineStr">
        <is>
          <t>확인필요</t>
        </is>
      </c>
      <c r="M194" s="21" t="inlineStr">
        <is>
          <t>N</t>
        </is>
      </c>
      <c r="N194" s="24" t="inlineStr">
        <is>
          <t>높음</t>
        </is>
      </c>
      <c r="O194" s="25" t="inlineStr">
        <is>
          <t>씨앗(검증 전)</t>
        </is>
      </c>
      <c r="P194" s="22" t="inlineStr">
        <is>
          <t>https://www.youtube.com/results?search_query=%EB%B3%B4%EC%9D%B4%EB%84%A5%EC%8A%A4%ED%8A%B8%EB%8F%84%EC%96%B4%20But%20I%20Like%20You</t>
        </is>
      </c>
      <c r="Q194" s="22" t="inlineStr">
        <is>
          <t>https://music.youtube.com/search?q=%EB%B3%B4%EC%9D%B4%EB%84%A5%EC%8A%A4%ED%8A%B8%EB%8F%84%EC%96%B4%20But%20I%20Like%20You</t>
        </is>
      </c>
    </row>
    <row r="195" ht="15" customHeight="1" s="17">
      <c r="A195" s="21" t="inlineStr">
        <is>
          <t>S194</t>
        </is>
      </c>
      <c r="B195" s="22" t="inlineStr">
        <is>
          <t>In Bloom</t>
        </is>
      </c>
      <c r="C195" s="25" t="inlineStr">
        <is>
          <t>제로베이스원</t>
        </is>
      </c>
      <c r="D195" s="23" t="inlineStr">
        <is>
          <t>2023</t>
        </is>
      </c>
      <c r="E195" s="24" t="inlineStr">
        <is>
          <t>설렘두근</t>
        </is>
      </c>
      <c r="F195" s="25" t="inlineStr">
        <is>
          <t>밤바다, 드라이브</t>
        </is>
      </c>
      <c r="G195" s="24" t="inlineStr">
        <is>
          <t>남돌</t>
        </is>
      </c>
      <c r="H195" s="22" t="n"/>
      <c r="I195" s="22">
        <f>IF($H269="","","https://youtu.be/"&amp;$H269)</f>
        <v/>
      </c>
      <c r="J195" s="22">
        <f>IF($H269="","","https://music.youtube.com/watch?v="&amp;$H269)</f>
        <v/>
      </c>
      <c r="K195" s="22">
        <f>IF($H269="","","https://img.youtube.com/vi/"&amp;$H269&amp;"/hqdefault.jpg")</f>
        <v/>
      </c>
      <c r="L195" s="24" t="inlineStr">
        <is>
          <t>확인필요</t>
        </is>
      </c>
      <c r="M195" s="21" t="inlineStr">
        <is>
          <t>N</t>
        </is>
      </c>
      <c r="N195" s="24" t="inlineStr">
        <is>
          <t>높음</t>
        </is>
      </c>
      <c r="O195" s="25" t="inlineStr">
        <is>
          <t>씨앗(검증 전)</t>
        </is>
      </c>
      <c r="P195" s="22" t="inlineStr">
        <is>
          <t>https://www.youtube.com/results?search_query=%EC%A0%9C%EB%A1%9C%EB%B2%A0%EC%9D%B4%EC%8A%A4%EC%9B%90%20In%20Bloom</t>
        </is>
      </c>
      <c r="Q195" s="22" t="inlineStr">
        <is>
          <t>https://music.youtube.com/search?q=%EC%A0%9C%EB%A1%9C%EB%B2%A0%EC%9D%B4%EC%8A%A4%EC%9B%90%20In%20Bloom</t>
        </is>
      </c>
    </row>
    <row r="196" ht="15" customHeight="1" s="17">
      <c r="A196" s="21" t="inlineStr">
        <is>
          <t>S195</t>
        </is>
      </c>
      <c r="B196" s="22" t="inlineStr">
        <is>
          <t>One and Only</t>
        </is>
      </c>
      <c r="C196" s="25" t="inlineStr">
        <is>
          <t>보이넥스트도어</t>
        </is>
      </c>
      <c r="D196" s="23" t="inlineStr">
        <is>
          <t>2023</t>
        </is>
      </c>
      <c r="E196" s="24" t="inlineStr">
        <is>
          <t>설렘두근</t>
        </is>
      </c>
      <c r="F196" s="25" t="inlineStr">
        <is>
          <t>밤바다</t>
        </is>
      </c>
      <c r="G196" s="24" t="inlineStr">
        <is>
          <t>남돌</t>
        </is>
      </c>
      <c r="H196" s="22" t="n"/>
      <c r="I196" s="22">
        <f>IF($H270="","","https://youtu.be/"&amp;$H270)</f>
        <v/>
      </c>
      <c r="J196" s="22">
        <f>IF($H270="","","https://music.youtube.com/watch?v="&amp;$H270)</f>
        <v/>
      </c>
      <c r="K196" s="22">
        <f>IF($H270="","","https://img.youtube.com/vi/"&amp;$H270&amp;"/hqdefault.jpg")</f>
        <v/>
      </c>
      <c r="L196" s="24" t="inlineStr">
        <is>
          <t>확인필요</t>
        </is>
      </c>
      <c r="M196" s="21" t="inlineStr">
        <is>
          <t>N</t>
        </is>
      </c>
      <c r="N196" s="24" t="inlineStr">
        <is>
          <t>높음</t>
        </is>
      </c>
      <c r="O196" s="25" t="inlineStr">
        <is>
          <t>씨앗(검증 전)</t>
        </is>
      </c>
      <c r="P196" s="22" t="inlineStr">
        <is>
          <t>https://www.youtube.com/results?search_query=%EB%B3%B4%EC%9D%B4%EB%84%A5%EC%8A%A4%ED%8A%B8%EB%8F%84%EC%96%B4%20One%20and%20Only</t>
        </is>
      </c>
      <c r="Q196" s="22" t="inlineStr">
        <is>
          <t>https://music.youtube.com/search?q=%EB%B3%B4%EC%9D%B4%EB%84%A5%EC%8A%A4%ED%8A%B8%EB%8F%84%EC%96%B4%20One%20and%20Only</t>
        </is>
      </c>
    </row>
    <row r="197" ht="15" customHeight="1" s="17">
      <c r="A197" s="21" t="inlineStr">
        <is>
          <t>S196</t>
        </is>
      </c>
      <c r="B197" s="22" t="inlineStr">
        <is>
          <t>Sugar Rush Ride</t>
        </is>
      </c>
      <c r="C197" s="25" t="inlineStr">
        <is>
          <t>투모로우바이투게더</t>
        </is>
      </c>
      <c r="D197" s="23" t="inlineStr">
        <is>
          <t>2023</t>
        </is>
      </c>
      <c r="E197" s="24" t="inlineStr">
        <is>
          <t>설렘두근</t>
        </is>
      </c>
      <c r="F197" s="25" t="inlineStr">
        <is>
          <t>밤바다, 드라이브</t>
        </is>
      </c>
      <c r="G197" s="24" t="inlineStr">
        <is>
          <t>남돌</t>
        </is>
      </c>
      <c r="H197" s="22" t="n"/>
      <c r="I197" s="22">
        <f>IF($H271="","","https://youtu.be/"&amp;$H271)</f>
        <v/>
      </c>
      <c r="J197" s="22">
        <f>IF($H271="","","https://music.youtube.com/watch?v="&amp;$H271)</f>
        <v/>
      </c>
      <c r="K197" s="22">
        <f>IF($H271="","","https://img.youtube.com/vi/"&amp;$H271&amp;"/hqdefault.jpg")</f>
        <v/>
      </c>
      <c r="L197" s="24" t="inlineStr">
        <is>
          <t>확인필요</t>
        </is>
      </c>
      <c r="M197" s="21" t="inlineStr">
        <is>
          <t>N</t>
        </is>
      </c>
      <c r="N197" s="24" t="inlineStr">
        <is>
          <t>높음</t>
        </is>
      </c>
      <c r="O197" s="25" t="inlineStr">
        <is>
          <t>씨앗(검증 전)</t>
        </is>
      </c>
      <c r="P197" s="22" t="inlineStr">
        <is>
          <t>https://www.youtube.com/results?search_query=%ED%88%AC%EB%AA%A8%EB%A1%9C%EC%9A%B0%EB%B0%94%EC%9D%B4%ED%88%AC%EA%B2%8C%EB%8D%94%20Sugar%20Rush%20Ride</t>
        </is>
      </c>
      <c r="Q197" s="22" t="inlineStr">
        <is>
          <t>https://music.youtube.com/search?q=%ED%88%AC%EB%AA%A8%EB%A1%9C%EC%9A%B0%EB%B0%94%EC%9D%B4%ED%88%AC%EA%B2%8C%EB%8D%94%20Sugar%20Rush%20Ride</t>
        </is>
      </c>
    </row>
    <row r="198" ht="15" customHeight="1" s="17">
      <c r="A198" s="21" t="inlineStr">
        <is>
          <t>S197</t>
        </is>
      </c>
      <c r="B198" s="22" t="inlineStr">
        <is>
          <t>Sweet Venom</t>
        </is>
      </c>
      <c r="C198" s="25" t="inlineStr">
        <is>
          <t>엔하이픈</t>
        </is>
      </c>
      <c r="D198" s="23" t="inlineStr">
        <is>
          <t>2023</t>
        </is>
      </c>
      <c r="E198" s="24" t="inlineStr">
        <is>
          <t>설렘두근</t>
        </is>
      </c>
      <c r="F198" s="25" t="inlineStr">
        <is>
          <t>밤바다</t>
        </is>
      </c>
      <c r="G198" s="24" t="inlineStr">
        <is>
          <t>남돌</t>
        </is>
      </c>
      <c r="H198" s="22" t="n"/>
      <c r="I198" s="22">
        <f>IF($H272="","","https://youtu.be/"&amp;$H272)</f>
        <v/>
      </c>
      <c r="J198" s="22">
        <f>IF($H272="","","https://music.youtube.com/watch?v="&amp;$H272)</f>
        <v/>
      </c>
      <c r="K198" s="22">
        <f>IF($H272="","","https://img.youtube.com/vi/"&amp;$H272&amp;"/hqdefault.jpg")</f>
        <v/>
      </c>
      <c r="L198" s="24" t="inlineStr">
        <is>
          <t>확인필요</t>
        </is>
      </c>
      <c r="M198" s="21" t="inlineStr">
        <is>
          <t>N</t>
        </is>
      </c>
      <c r="N198" s="24" t="inlineStr">
        <is>
          <t>높음</t>
        </is>
      </c>
      <c r="O198" s="25" t="inlineStr">
        <is>
          <t>씨앗(검증 전)</t>
        </is>
      </c>
      <c r="P198" s="22" t="inlineStr">
        <is>
          <t>https://www.youtube.com/results?search_query=%EC%97%94%ED%95%98%EC%9D%B4%ED%94%88%20Sweet%20Venom</t>
        </is>
      </c>
      <c r="Q198" s="22" t="inlineStr">
        <is>
          <t>https://music.youtube.com/search?q=%EC%97%94%ED%95%98%EC%9D%B4%ED%94%88%20Sweet%20Venom</t>
        </is>
      </c>
    </row>
    <row r="199" ht="15" customHeight="1" s="17">
      <c r="A199" s="21" t="inlineStr">
        <is>
          <t>S198</t>
        </is>
      </c>
      <c r="B199" s="22" t="inlineStr">
        <is>
          <t>Polaroid Love</t>
        </is>
      </c>
      <c r="C199" s="25" t="inlineStr">
        <is>
          <t>엔하이픈</t>
        </is>
      </c>
      <c r="D199" s="23" t="inlineStr">
        <is>
          <t>2022</t>
        </is>
      </c>
      <c r="E199" s="24" t="inlineStr">
        <is>
          <t>설렘두근</t>
        </is>
      </c>
      <c r="F199" s="25" t="inlineStr">
        <is>
          <t>밤바다</t>
        </is>
      </c>
      <c r="G199" s="24" t="inlineStr">
        <is>
          <t>남돌</t>
        </is>
      </c>
      <c r="H199" s="22" t="n"/>
      <c r="I199" s="22">
        <f>IF($H273="","","https://youtu.be/"&amp;$H273)</f>
        <v/>
      </c>
      <c r="J199" s="22">
        <f>IF($H273="","","https://music.youtube.com/watch?v="&amp;$H273)</f>
        <v/>
      </c>
      <c r="K199" s="22">
        <f>IF($H273="","","https://img.youtube.com/vi/"&amp;$H273&amp;"/hqdefault.jpg")</f>
        <v/>
      </c>
      <c r="L199" s="24" t="inlineStr">
        <is>
          <t>확인필요</t>
        </is>
      </c>
      <c r="M199" s="21" t="inlineStr">
        <is>
          <t>N</t>
        </is>
      </c>
      <c r="N199" s="24" t="inlineStr">
        <is>
          <t>높음</t>
        </is>
      </c>
      <c r="O199" s="25" t="inlineStr">
        <is>
          <t>씨앗(검증 전)</t>
        </is>
      </c>
      <c r="P199" s="22" t="inlineStr">
        <is>
          <t>https://www.youtube.com/results?search_query=%EC%97%94%ED%95%98%EC%9D%B4%ED%94%88%20Polaroid%20Love</t>
        </is>
      </c>
      <c r="Q199" s="22" t="inlineStr">
        <is>
          <t>https://music.youtube.com/search?q=%EC%97%94%ED%95%98%EC%9D%B4%ED%94%88%20Polaroid%20Love</t>
        </is>
      </c>
    </row>
    <row r="200" ht="15" customHeight="1" s="17">
      <c r="A200" s="21" t="inlineStr">
        <is>
          <t>S199</t>
        </is>
      </c>
      <c r="B200" s="22" t="inlineStr">
        <is>
          <t>Ready to love</t>
        </is>
      </c>
      <c r="C200" s="25" t="inlineStr">
        <is>
          <t>세븐틴</t>
        </is>
      </c>
      <c r="D200" s="23" t="inlineStr">
        <is>
          <t>2021</t>
        </is>
      </c>
      <c r="E200" s="24" t="inlineStr">
        <is>
          <t>설렘두근</t>
        </is>
      </c>
      <c r="F200" s="25" t="inlineStr">
        <is>
          <t>밤바다, 드라이브</t>
        </is>
      </c>
      <c r="G200" s="24" t="inlineStr">
        <is>
          <t>남돌</t>
        </is>
      </c>
      <c r="H200" s="22" t="n"/>
      <c r="I200" s="22">
        <f>IF($H274="","","https://youtu.be/"&amp;$H274)</f>
        <v/>
      </c>
      <c r="J200" s="22">
        <f>IF($H274="","","https://music.youtube.com/watch?v="&amp;$H274)</f>
        <v/>
      </c>
      <c r="K200" s="22">
        <f>IF($H274="","","https://img.youtube.com/vi/"&amp;$H274&amp;"/hqdefault.jpg")</f>
        <v/>
      </c>
      <c r="L200" s="24" t="inlineStr">
        <is>
          <t>확인필요</t>
        </is>
      </c>
      <c r="M200" s="21" t="inlineStr">
        <is>
          <t>N</t>
        </is>
      </c>
      <c r="N200" s="24" t="inlineStr">
        <is>
          <t>높음</t>
        </is>
      </c>
      <c r="O200" s="25" t="inlineStr">
        <is>
          <t>씨앗(검증 전)</t>
        </is>
      </c>
      <c r="P200" s="22" t="inlineStr">
        <is>
          <t>https://www.youtube.com/results?search_query=%EC%84%B8%EB%B8%90%ED%8B%B4%20Ready%20to%20love</t>
        </is>
      </c>
      <c r="Q200" s="22" t="inlineStr">
        <is>
          <t>https://music.youtube.com/search?q=%EC%84%B8%EB%B8%90%ED%8B%B4%20Ready%20to%20love</t>
        </is>
      </c>
    </row>
    <row r="201" ht="15" customHeight="1" s="17">
      <c r="A201" s="21" t="inlineStr">
        <is>
          <t>S200</t>
        </is>
      </c>
      <c r="B201" s="22" t="inlineStr">
        <is>
          <t>WHISPER</t>
        </is>
      </c>
      <c r="C201" s="25" t="inlineStr">
        <is>
          <t>더보이즈</t>
        </is>
      </c>
      <c r="D201" s="23" t="inlineStr">
        <is>
          <t>2021</t>
        </is>
      </c>
      <c r="E201" s="24" t="inlineStr">
        <is>
          <t>설렘두근</t>
        </is>
      </c>
      <c r="F201" s="25" t="inlineStr">
        <is>
          <t>밤바다, 드라이브</t>
        </is>
      </c>
      <c r="G201" s="24" t="inlineStr">
        <is>
          <t>남돌</t>
        </is>
      </c>
      <c r="H201" s="22" t="n"/>
      <c r="I201" s="22">
        <f>IF($H275="","","https://youtu.be/"&amp;$H275)</f>
        <v/>
      </c>
      <c r="J201" s="22">
        <f>IF($H275="","","https://music.youtube.com/watch?v="&amp;$H275)</f>
        <v/>
      </c>
      <c r="K201" s="22">
        <f>IF($H275="","","https://img.youtube.com/vi/"&amp;$H275&amp;"/hqdefault.jpg")</f>
        <v/>
      </c>
      <c r="L201" s="24" t="inlineStr">
        <is>
          <t>확인필요</t>
        </is>
      </c>
      <c r="M201" s="21" t="inlineStr">
        <is>
          <t>N</t>
        </is>
      </c>
      <c r="N201" s="24" t="inlineStr">
        <is>
          <t>높음</t>
        </is>
      </c>
      <c r="O201" s="25" t="inlineStr">
        <is>
          <t>씨앗(검증 전)</t>
        </is>
      </c>
      <c r="P201" s="22" t="inlineStr">
        <is>
          <t>https://www.youtube.com/results?search_query=%EB%8D%94%EB%B3%B4%EC%9D%B4%EC%A6%88%20WHISPER</t>
        </is>
      </c>
      <c r="Q201" s="22" t="inlineStr">
        <is>
          <t>https://music.youtube.com/search?q=%EB%8D%94%EB%B3%B4%EC%9D%B4%EC%A6%88%20WHISPER</t>
        </is>
      </c>
    </row>
    <row r="202" ht="15" customHeight="1" s="17">
      <c r="A202" s="21" t="inlineStr">
        <is>
          <t>S201</t>
        </is>
      </c>
      <c r="B202" s="22" t="inlineStr">
        <is>
          <t>All Night (전화해)</t>
        </is>
      </c>
      <c r="C202" s="25" t="inlineStr">
        <is>
          <t>아스트로</t>
        </is>
      </c>
      <c r="D202" s="23" t="inlineStr">
        <is>
          <t>2019</t>
        </is>
      </c>
      <c r="E202" s="24" t="inlineStr">
        <is>
          <t>설렘두근</t>
        </is>
      </c>
      <c r="F202" s="25" t="inlineStr">
        <is>
          <t>밤바다</t>
        </is>
      </c>
      <c r="G202" s="24" t="inlineStr">
        <is>
          <t>남돌</t>
        </is>
      </c>
      <c r="H202" s="22" t="n"/>
      <c r="I202" s="22">
        <f>IF($H276="","","https://youtu.be/"&amp;$H276)</f>
        <v/>
      </c>
      <c r="J202" s="22">
        <f>IF($H276="","","https://music.youtube.com/watch?v="&amp;$H276)</f>
        <v/>
      </c>
      <c r="K202" s="22">
        <f>IF($H276="","","https://img.youtube.com/vi/"&amp;$H276&amp;"/hqdefault.jpg")</f>
        <v/>
      </c>
      <c r="L202" s="24" t="inlineStr">
        <is>
          <t>확인필요</t>
        </is>
      </c>
      <c r="M202" s="21" t="inlineStr">
        <is>
          <t>N</t>
        </is>
      </c>
      <c r="N202" s="24" t="inlineStr">
        <is>
          <t>높음</t>
        </is>
      </c>
      <c r="O202" s="25" t="inlineStr">
        <is>
          <t>씨앗(검증 전)</t>
        </is>
      </c>
      <c r="P202" s="22" t="inlineStr">
        <is>
          <t>https://www.youtube.com/results?search_query=%EC%95%84%EC%8A%A4%ED%8A%B8%EB%A1%9C%20All%20Night%20%28%EC%A0%84%ED%99%94%ED%95%B4%29</t>
        </is>
      </c>
      <c r="Q202" s="22" t="inlineStr">
        <is>
          <t>https://music.youtube.com/search?q=%EC%95%84%EC%8A%A4%ED%8A%B8%EB%A1%9C%20All%20Night%20%28%EC%A0%84%ED%99%94%ED%95%B4%29</t>
        </is>
      </c>
    </row>
    <row r="203" ht="15" customHeight="1" s="17">
      <c r="A203" s="21" t="inlineStr">
        <is>
          <t>S202</t>
        </is>
      </c>
      <c r="B203" s="22" t="inlineStr">
        <is>
          <t>Calling You</t>
        </is>
      </c>
      <c r="C203" s="25" t="inlineStr">
        <is>
          <t>하이라이트</t>
        </is>
      </c>
      <c r="D203" s="23" t="inlineStr">
        <is>
          <t>2019</t>
        </is>
      </c>
      <c r="E203" s="24" t="inlineStr">
        <is>
          <t>설렘두근</t>
        </is>
      </c>
      <c r="F203" s="25" t="inlineStr">
        <is>
          <t>밤바다, 드라이브</t>
        </is>
      </c>
      <c r="G203" s="24" t="inlineStr">
        <is>
          <t>남돌</t>
        </is>
      </c>
      <c r="H203" s="22" t="n"/>
      <c r="I203" s="22">
        <f>IF($H277="","","https://youtu.be/"&amp;$H277)</f>
        <v/>
      </c>
      <c r="J203" s="22">
        <f>IF($H277="","","https://music.youtube.com/watch?v="&amp;$H277)</f>
        <v/>
      </c>
      <c r="K203" s="22">
        <f>IF($H277="","","https://img.youtube.com/vi/"&amp;$H277&amp;"/hqdefault.jpg")</f>
        <v/>
      </c>
      <c r="L203" s="24" t="inlineStr">
        <is>
          <t>확인필요</t>
        </is>
      </c>
      <c r="M203" s="21" t="inlineStr">
        <is>
          <t>N</t>
        </is>
      </c>
      <c r="N203" s="24" t="inlineStr">
        <is>
          <t>높음</t>
        </is>
      </c>
      <c r="O203" s="25" t="inlineStr">
        <is>
          <t>씨앗(검증 전)</t>
        </is>
      </c>
      <c r="P203" s="22" t="inlineStr">
        <is>
          <t>https://www.youtube.com/results?search_query=%ED%95%98%EC%9D%B4%EB%9D%BC%EC%9D%B4%ED%8A%B8%20Calling%20You</t>
        </is>
      </c>
      <c r="Q203" s="22" t="inlineStr">
        <is>
          <t>https://music.youtube.com/search?q=%ED%95%98%EC%9D%B4%EB%9D%BC%EC%9D%B4%ED%8A%B8%20Calling%20You</t>
        </is>
      </c>
    </row>
    <row r="204" ht="15" customHeight="1" s="17">
      <c r="A204" s="21" t="inlineStr">
        <is>
          <t>S203</t>
        </is>
      </c>
      <c r="B204" s="22" t="inlineStr">
        <is>
          <t>Love Me</t>
        </is>
      </c>
      <c r="C204" s="25" t="inlineStr">
        <is>
          <t>뉴이스트</t>
        </is>
      </c>
      <c r="D204" s="23" t="inlineStr">
        <is>
          <t>2019</t>
        </is>
      </c>
      <c r="E204" s="24" t="inlineStr">
        <is>
          <t>설렘두근</t>
        </is>
      </c>
      <c r="F204" s="25" t="inlineStr">
        <is>
          <t>밤바다</t>
        </is>
      </c>
      <c r="G204" s="24" t="inlineStr">
        <is>
          <t>남돌</t>
        </is>
      </c>
      <c r="H204" s="22" t="n"/>
      <c r="I204" s="22">
        <f>IF($H278="","","https://youtu.be/"&amp;$H278)</f>
        <v/>
      </c>
      <c r="J204" s="22">
        <f>IF($H278="","","https://music.youtube.com/watch?v="&amp;$H278)</f>
        <v/>
      </c>
      <c r="K204" s="22">
        <f>IF($H278="","","https://img.youtube.com/vi/"&amp;$H278&amp;"/hqdefault.jpg")</f>
        <v/>
      </c>
      <c r="L204" s="24" t="inlineStr">
        <is>
          <t>확인필요</t>
        </is>
      </c>
      <c r="M204" s="21" t="inlineStr">
        <is>
          <t>N</t>
        </is>
      </c>
      <c r="N204" s="24" t="inlineStr">
        <is>
          <t>높음</t>
        </is>
      </c>
      <c r="O204" s="25" t="inlineStr">
        <is>
          <t>씨앗(검증 전)</t>
        </is>
      </c>
      <c r="P204" s="22" t="inlineStr">
        <is>
          <t>https://www.youtube.com/results?search_query=%EB%89%B4%EC%9D%B4%EC%8A%A4%ED%8A%B8%20Love%20Me</t>
        </is>
      </c>
      <c r="Q204" s="22" t="inlineStr">
        <is>
          <t>https://music.youtube.com/search?q=%EB%89%B4%EC%9D%B4%EC%8A%A4%ED%8A%B8%20Love%20Me</t>
        </is>
      </c>
    </row>
    <row r="205" ht="15" customHeight="1" s="17">
      <c r="A205" s="21" t="inlineStr">
        <is>
          <t>S204</t>
        </is>
      </c>
      <c r="B205" s="25" t="inlineStr">
        <is>
          <t>빛나리 (Shine)</t>
        </is>
      </c>
      <c r="C205" s="25" t="inlineStr">
        <is>
          <t>펜타곤</t>
        </is>
      </c>
      <c r="D205" s="23" t="inlineStr">
        <is>
          <t>2018</t>
        </is>
      </c>
      <c r="E205" s="24" t="inlineStr">
        <is>
          <t>설렘두근</t>
        </is>
      </c>
      <c r="F205" s="25" t="inlineStr">
        <is>
          <t>밤바다</t>
        </is>
      </c>
      <c r="G205" s="24" t="inlineStr">
        <is>
          <t>남돌</t>
        </is>
      </c>
      <c r="H205" s="22" t="n"/>
      <c r="I205" s="22">
        <f>IF($H279="","","https://youtu.be/"&amp;$H279)</f>
        <v/>
      </c>
      <c r="J205" s="22">
        <f>IF($H279="","","https://music.youtube.com/watch?v="&amp;$H279)</f>
        <v/>
      </c>
      <c r="K205" s="22">
        <f>IF($H279="","","https://img.youtube.com/vi/"&amp;$H279&amp;"/hqdefault.jpg")</f>
        <v/>
      </c>
      <c r="L205" s="24" t="inlineStr">
        <is>
          <t>확인필요</t>
        </is>
      </c>
      <c r="M205" s="21" t="inlineStr">
        <is>
          <t>N</t>
        </is>
      </c>
      <c r="N205" s="24" t="inlineStr">
        <is>
          <t>높음</t>
        </is>
      </c>
      <c r="O205" s="25" t="inlineStr">
        <is>
          <t>씨앗(검증 전)</t>
        </is>
      </c>
      <c r="P205" s="22" t="inlineStr">
        <is>
          <t>https://www.youtube.com/results?search_query=%ED%8E%9C%ED%83%80%EA%B3%A4%20%EB%B9%9B%EB%82%98%EB%A6%AC%20%28Shine%29</t>
        </is>
      </c>
      <c r="Q205" s="22" t="inlineStr">
        <is>
          <t>https://music.youtube.com/search?q=%ED%8E%9C%ED%83%80%EA%B3%A4%20%EB%B9%9B%EB%82%98%EB%A6%AC%20%28Shine%29</t>
        </is>
      </c>
    </row>
    <row r="206" ht="15" customHeight="1" s="17">
      <c r="A206" s="21" t="inlineStr">
        <is>
          <t>S205</t>
        </is>
      </c>
      <c r="B206" s="25" t="inlineStr">
        <is>
          <t>사랑을 했다 (Love Scenario)</t>
        </is>
      </c>
      <c r="C206" s="25" t="inlineStr">
        <is>
          <t>아이콘</t>
        </is>
      </c>
      <c r="D206" s="23" t="inlineStr">
        <is>
          <t>2018</t>
        </is>
      </c>
      <c r="E206" s="24" t="inlineStr">
        <is>
          <t>설렘두근</t>
        </is>
      </c>
      <c r="F206" s="25" t="inlineStr">
        <is>
          <t>밤바다, 드라이브</t>
        </is>
      </c>
      <c r="G206" s="24" t="inlineStr">
        <is>
          <t>남돌</t>
        </is>
      </c>
      <c r="H206" s="22" t="n"/>
      <c r="I206" s="22">
        <f>IF($H280="","","https://youtu.be/"&amp;$H280)</f>
        <v/>
      </c>
      <c r="J206" s="22">
        <f>IF($H280="","","https://music.youtube.com/watch?v="&amp;$H280)</f>
        <v/>
      </c>
      <c r="K206" s="22">
        <f>IF($H280="","","https://img.youtube.com/vi/"&amp;$H280&amp;"/hqdefault.jpg")</f>
        <v/>
      </c>
      <c r="L206" s="24" t="inlineStr">
        <is>
          <t>확인필요</t>
        </is>
      </c>
      <c r="M206" s="21" t="inlineStr">
        <is>
          <t>N</t>
        </is>
      </c>
      <c r="N206" s="24" t="inlineStr">
        <is>
          <t>높음</t>
        </is>
      </c>
      <c r="O206" s="25" t="inlineStr">
        <is>
          <t>씨앗(검증 전)</t>
        </is>
      </c>
      <c r="P206" s="22" t="inlineStr">
        <is>
          <t>https://www.youtube.com/results?search_query=%EC%95%84%EC%9D%B4%EC%BD%98%20%EC%82%AC%EB%9E%91%EC%9D%84%20%ED%96%88%EB%8B%A4%20%28Love%20Scenario%29</t>
        </is>
      </c>
      <c r="Q206" s="22" t="inlineStr">
        <is>
          <t>https://music.youtube.com/search?q=%EC%95%84%EC%9D%B4%EC%BD%98%20%EC%82%AC%EB%9E%91%EC%9D%84%20%ED%96%88%EB%8B%A4%20%28Love%20Scenario%29</t>
        </is>
      </c>
    </row>
    <row r="207" ht="15" customHeight="1" s="17">
      <c r="A207" s="21" t="inlineStr">
        <is>
          <t>S206</t>
        </is>
      </c>
      <c r="B207" s="25" t="inlineStr">
        <is>
          <t>만세 (Man In Love)</t>
        </is>
      </c>
      <c r="C207" s="25" t="inlineStr">
        <is>
          <t>인피니트</t>
        </is>
      </c>
      <c r="D207" s="23" t="inlineStr">
        <is>
          <t>2013</t>
        </is>
      </c>
      <c r="E207" s="24" t="inlineStr">
        <is>
          <t>설렘두근</t>
        </is>
      </c>
      <c r="F207" s="25" t="inlineStr">
        <is>
          <t>밤바다</t>
        </is>
      </c>
      <c r="G207" s="24" t="inlineStr">
        <is>
          <t>남돌</t>
        </is>
      </c>
      <c r="H207" s="22" t="n"/>
      <c r="I207" s="22">
        <f>IF($H286="","","https://youtu.be/"&amp;$H286)</f>
        <v/>
      </c>
      <c r="J207" s="22">
        <f>IF($H286="","","https://music.youtube.com/watch?v="&amp;$H286)</f>
        <v/>
      </c>
      <c r="K207" s="22">
        <f>IF($H286="","","https://img.youtube.com/vi/"&amp;$H286&amp;"/hqdefault.jpg")</f>
        <v/>
      </c>
      <c r="L207" s="24" t="inlineStr">
        <is>
          <t>확인필요</t>
        </is>
      </c>
      <c r="M207" s="21" t="inlineStr">
        <is>
          <t>N</t>
        </is>
      </c>
      <c r="N207" s="24" t="inlineStr">
        <is>
          <t>높음</t>
        </is>
      </c>
      <c r="O207" s="25" t="inlineStr">
        <is>
          <t>씨앗(검증 전)</t>
        </is>
      </c>
      <c r="P207" s="22" t="inlineStr">
        <is>
          <t>https://www.youtube.com/results?search_query=%EC%9D%B8%ED%94%BC%EB%8B%88%ED%8A%B8%20%EB%A7%8C%EC%84%B8%20%28Man%20In%20Love%29</t>
        </is>
      </c>
      <c r="Q207" s="22" t="inlineStr">
        <is>
          <t>https://music.youtube.com/search?q=%EC%9D%B8%ED%94%BC%EB%8B%88%ED%8A%B8%20%EB%A7%8C%EC%84%B8%20%28Man%20In%20Love%29</t>
        </is>
      </c>
    </row>
    <row r="208" ht="15" customHeight="1" s="17">
      <c r="A208" s="21" t="inlineStr">
        <is>
          <t>S207</t>
        </is>
      </c>
      <c r="B208" s="25" t="inlineStr">
        <is>
          <t>으르렁 (Growl)</t>
        </is>
      </c>
      <c r="C208" s="22" t="inlineStr">
        <is>
          <t>EXO</t>
        </is>
      </c>
      <c r="D208" s="23" t="inlineStr">
        <is>
          <t>2013</t>
        </is>
      </c>
      <c r="E208" s="24" t="inlineStr">
        <is>
          <t>설렘두근</t>
        </is>
      </c>
      <c r="F208" s="25" t="inlineStr">
        <is>
          <t>밤바다</t>
        </is>
      </c>
      <c r="G208" s="24" t="inlineStr">
        <is>
          <t>남돌</t>
        </is>
      </c>
      <c r="H208" s="22" t="n"/>
      <c r="I208" s="22">
        <f>IF($H287="","","https://youtu.be/"&amp;$H287)</f>
        <v/>
      </c>
      <c r="J208" s="22">
        <f>IF($H287="","","https://music.youtube.com/watch?v="&amp;$H287)</f>
        <v/>
      </c>
      <c r="K208" s="22">
        <f>IF($H287="","","https://img.youtube.com/vi/"&amp;$H287&amp;"/hqdefault.jpg")</f>
        <v/>
      </c>
      <c r="L208" s="24" t="inlineStr">
        <is>
          <t>확인필요</t>
        </is>
      </c>
      <c r="M208" s="21" t="inlineStr">
        <is>
          <t>N</t>
        </is>
      </c>
      <c r="N208" s="24" t="inlineStr">
        <is>
          <t>높음</t>
        </is>
      </c>
      <c r="O208" s="25" t="inlineStr">
        <is>
          <t>씨앗(검증 전)</t>
        </is>
      </c>
      <c r="P208" s="22" t="inlineStr">
        <is>
          <t>https://www.youtube.com/results?search_query=EXO%20%EC%9C%BC%EB%A5%B4%EB%A0%81%20%28Growl%29</t>
        </is>
      </c>
      <c r="Q208" s="22" t="inlineStr">
        <is>
          <t>https://music.youtube.com/search?q=EXO%20%EC%9C%BC%EB%A5%B4%EB%A0%81%20%28Growl%29</t>
        </is>
      </c>
    </row>
    <row r="209" ht="15" customHeight="1" s="17">
      <c r="A209" s="21" t="inlineStr">
        <is>
          <t>S208</t>
        </is>
      </c>
      <c r="B209" s="22" t="inlineStr">
        <is>
          <t>LO$ER=LO♡ER</t>
        </is>
      </c>
      <c r="C209" s="25" t="inlineStr">
        <is>
          <t>투모로우바이투게더</t>
        </is>
      </c>
      <c r="D209" s="23" t="inlineStr">
        <is>
          <t>2021</t>
        </is>
      </c>
      <c r="E209" s="24" t="inlineStr">
        <is>
          <t>센치감성</t>
        </is>
      </c>
      <c r="F209" s="25" t="inlineStr">
        <is>
          <t>밤바다</t>
        </is>
      </c>
      <c r="G209" s="24" t="inlineStr">
        <is>
          <t>남돌</t>
        </is>
      </c>
      <c r="H209" s="22" t="n"/>
      <c r="I209" s="22">
        <f>IF($H289="","","https://youtu.be/"&amp;$H289)</f>
        <v/>
      </c>
      <c r="J209" s="22">
        <f>IF($H289="","","https://music.youtube.com/watch?v="&amp;$H289)</f>
        <v/>
      </c>
      <c r="K209" s="22">
        <f>IF($H289="","","https://img.youtube.com/vi/"&amp;$H289&amp;"/hqdefault.jpg")</f>
        <v/>
      </c>
      <c r="L209" s="24" t="inlineStr">
        <is>
          <t>확인필요</t>
        </is>
      </c>
      <c r="M209" s="21" t="inlineStr">
        <is>
          <t>N</t>
        </is>
      </c>
      <c r="N209" s="24" t="inlineStr">
        <is>
          <t>높음</t>
        </is>
      </c>
      <c r="O209" s="25" t="inlineStr">
        <is>
          <t>씨앗(검증 전)</t>
        </is>
      </c>
      <c r="P209" s="22" t="inlineStr">
        <is>
          <t>https://www.youtube.com/results?search_query=%ED%88%AC%EB%AA%A8%EB%A1%9C%EC%9A%B0%EB%B0%94%EC%9D%B4%ED%88%AC%EA%B2%8C%EB%8D%94%20LO%24ER%3DLO%E2%99%A1ER</t>
        </is>
      </c>
      <c r="Q209" s="22" t="inlineStr">
        <is>
          <t>https://music.youtube.com/search?q=%ED%88%AC%EB%AA%A8%EB%A1%9C%EC%9A%B0%EB%B0%94%EC%9D%B4%ED%88%AC%EA%B2%8C%EB%8D%94%20LO%24ER%3DLO%E2%99%A1ER</t>
        </is>
      </c>
    </row>
    <row r="210" ht="15" customHeight="1" s="17">
      <c r="A210" s="21" t="inlineStr">
        <is>
          <t>S209</t>
        </is>
      </c>
      <c r="B210" s="22" t="inlineStr">
        <is>
          <t>Daisy</t>
        </is>
      </c>
      <c r="C210" s="25" t="inlineStr">
        <is>
          <t>펜타곤</t>
        </is>
      </c>
      <c r="D210" s="23" t="inlineStr">
        <is>
          <t>2020</t>
        </is>
      </c>
      <c r="E210" s="24" t="inlineStr">
        <is>
          <t>센치감성</t>
        </is>
      </c>
      <c r="F210" s="25" t="inlineStr">
        <is>
          <t>밤바다</t>
        </is>
      </c>
      <c r="G210" s="24" t="inlineStr">
        <is>
          <t>남돌</t>
        </is>
      </c>
      <c r="H210" s="22" t="n"/>
      <c r="I210" s="22">
        <f>IF($H290="","","https://youtu.be/"&amp;$H290)</f>
        <v/>
      </c>
      <c r="J210" s="22">
        <f>IF($H290="","","https://music.youtube.com/watch?v="&amp;$H290)</f>
        <v/>
      </c>
      <c r="K210" s="22">
        <f>IF($H290="","","https://img.youtube.com/vi/"&amp;$H290&amp;"/hqdefault.jpg")</f>
        <v/>
      </c>
      <c r="L210" s="24" t="inlineStr">
        <is>
          <t>확인필요</t>
        </is>
      </c>
      <c r="M210" s="21" t="inlineStr">
        <is>
          <t>N</t>
        </is>
      </c>
      <c r="N210" s="24" t="inlineStr">
        <is>
          <t>높음</t>
        </is>
      </c>
      <c r="O210" s="25" t="inlineStr">
        <is>
          <t>씨앗(검증 전)</t>
        </is>
      </c>
      <c r="P210" s="22" t="inlineStr">
        <is>
          <t>https://www.youtube.com/results?search_query=%ED%8E%9C%ED%83%80%EA%B3%A4%20Daisy</t>
        </is>
      </c>
      <c r="Q210" s="22" t="inlineStr">
        <is>
          <t>https://music.youtube.com/search?q=%ED%8E%9C%ED%83%80%EA%B3%A4%20Daisy</t>
        </is>
      </c>
    </row>
    <row r="211" ht="15" customHeight="1" s="17">
      <c r="A211" s="21" t="inlineStr">
        <is>
          <t>S210</t>
        </is>
      </c>
      <c r="B211" s="22" t="inlineStr">
        <is>
          <t>Good Guy</t>
        </is>
      </c>
      <c r="C211" s="22" t="inlineStr">
        <is>
          <t>SF9</t>
        </is>
      </c>
      <c r="D211" s="23" t="inlineStr">
        <is>
          <t>2020</t>
        </is>
      </c>
      <c r="E211" s="24" t="inlineStr">
        <is>
          <t>센치감성</t>
        </is>
      </c>
      <c r="F211" s="25" t="inlineStr">
        <is>
          <t>밤바다</t>
        </is>
      </c>
      <c r="G211" s="24" t="inlineStr">
        <is>
          <t>남돌</t>
        </is>
      </c>
      <c r="H211" s="22" t="n"/>
      <c r="I211" s="22">
        <f>IF($H291="","","https://youtu.be/"&amp;$H291)</f>
        <v/>
      </c>
      <c r="J211" s="22">
        <f>IF($H291="","","https://music.youtube.com/watch?v="&amp;$H291)</f>
        <v/>
      </c>
      <c r="K211" s="22">
        <f>IF($H291="","","https://img.youtube.com/vi/"&amp;$H291&amp;"/hqdefault.jpg")</f>
        <v/>
      </c>
      <c r="L211" s="24" t="inlineStr">
        <is>
          <t>확인필요</t>
        </is>
      </c>
      <c r="M211" s="21" t="inlineStr">
        <is>
          <t>N</t>
        </is>
      </c>
      <c r="N211" s="24" t="inlineStr">
        <is>
          <t>높음</t>
        </is>
      </c>
      <c r="O211" s="25" t="inlineStr">
        <is>
          <t>씨앗(검증 전)</t>
        </is>
      </c>
      <c r="P211" s="22" t="inlineStr">
        <is>
          <t>https://www.youtube.com/results?search_query=SF9%20Good%20Guy</t>
        </is>
      </c>
      <c r="Q211" s="22" t="inlineStr">
        <is>
          <t>https://music.youtube.com/search?q=SF9%20Good%20Guy</t>
        </is>
      </c>
    </row>
    <row r="212" ht="15" customHeight="1" s="17">
      <c r="A212" s="21" t="inlineStr">
        <is>
          <t>S211</t>
        </is>
      </c>
      <c r="B212" s="22" t="inlineStr">
        <is>
          <t>Howling</t>
        </is>
      </c>
      <c r="C212" s="25" t="inlineStr">
        <is>
          <t>빅톤</t>
        </is>
      </c>
      <c r="D212" s="23" t="inlineStr">
        <is>
          <t>2020</t>
        </is>
      </c>
      <c r="E212" s="24" t="inlineStr">
        <is>
          <t>센치감성</t>
        </is>
      </c>
      <c r="F212" s="25" t="inlineStr">
        <is>
          <t>밤바다</t>
        </is>
      </c>
      <c r="G212" s="24" t="inlineStr">
        <is>
          <t>남돌</t>
        </is>
      </c>
      <c r="H212" s="22" t="n"/>
      <c r="I212" s="22">
        <f>IF($H292="","","https://youtu.be/"&amp;$H292)</f>
        <v/>
      </c>
      <c r="J212" s="22">
        <f>IF($H292="","","https://music.youtube.com/watch?v="&amp;$H292)</f>
        <v/>
      </c>
      <c r="K212" s="22">
        <f>IF($H292="","","https://img.youtube.com/vi/"&amp;$H292&amp;"/hqdefault.jpg")</f>
        <v/>
      </c>
      <c r="L212" s="24" t="inlineStr">
        <is>
          <t>확인필요</t>
        </is>
      </c>
      <c r="M212" s="21" t="inlineStr">
        <is>
          <t>N</t>
        </is>
      </c>
      <c r="N212" s="24" t="inlineStr">
        <is>
          <t>높음</t>
        </is>
      </c>
      <c r="O212" s="25" t="inlineStr">
        <is>
          <t>씨앗(검증 전)</t>
        </is>
      </c>
      <c r="P212" s="22" t="inlineStr">
        <is>
          <t>https://www.youtube.com/results?search_query=%EB%B9%85%ED%86%A4%20Howling</t>
        </is>
      </c>
      <c r="Q212" s="22" t="inlineStr">
        <is>
          <t>https://music.youtube.com/search?q=%EB%B9%85%ED%86%A4%20Howling</t>
        </is>
      </c>
    </row>
    <row r="213" ht="15" customHeight="1" s="17">
      <c r="A213" s="21" t="inlineStr">
        <is>
          <t>S212</t>
        </is>
      </c>
      <c r="B213" s="22" t="inlineStr">
        <is>
          <t>You Calling My Name (니가 부르는 나의 이름)</t>
        </is>
      </c>
      <c r="C213" s="25" t="inlineStr">
        <is>
          <t>갓세븐</t>
        </is>
      </c>
      <c r="D213" s="23" t="inlineStr">
        <is>
          <t>2019</t>
        </is>
      </c>
      <c r="E213" s="24" t="inlineStr">
        <is>
          <t>센치감성</t>
        </is>
      </c>
      <c r="F213" s="25" t="inlineStr">
        <is>
          <t>밤바다</t>
        </is>
      </c>
      <c r="G213" s="24" t="inlineStr">
        <is>
          <t>남돌</t>
        </is>
      </c>
      <c r="H213" s="22" t="n"/>
      <c r="I213" s="22">
        <f>IF($H293="","","https://youtu.be/"&amp;$H293)</f>
        <v/>
      </c>
      <c r="J213" s="22">
        <f>IF($H293="","","https://music.youtube.com/watch?v="&amp;$H293)</f>
        <v/>
      </c>
      <c r="K213" s="22">
        <f>IF($H293="","","https://img.youtube.com/vi/"&amp;$H293&amp;"/hqdefault.jpg")</f>
        <v/>
      </c>
      <c r="L213" s="24" t="inlineStr">
        <is>
          <t>확인필요</t>
        </is>
      </c>
      <c r="M213" s="21" t="inlineStr">
        <is>
          <t>N</t>
        </is>
      </c>
      <c r="N213" s="24" t="inlineStr">
        <is>
          <t>높음</t>
        </is>
      </c>
      <c r="O213" s="25" t="inlineStr">
        <is>
          <t>씨앗(검증 전)</t>
        </is>
      </c>
      <c r="P213" s="22" t="inlineStr">
        <is>
          <t>https://www.youtube.com/results?search_query=%EA%B0%93%EC%84%B8%EB%B8%90%20You%20Calling%20My%20Name%20%28%EB%8B%88%EA%B0%80%20%EB%B6%80%EB%A5%B4%EB%8A%94%20%EB%82%98%EC%9D%98%20%EC%9D%B4%EB%A6%84%29</t>
        </is>
      </c>
      <c r="Q213" s="22" t="inlineStr">
        <is>
          <t>https://music.youtube.com/search?q=%EA%B0%93%EC%84%B8%EB%B8%90%20You%20Calling%20My%20Name%20%28%EB%8B%88%EA%B0%80%20%EB%B6%80%EB%A5%B4%EB%8A%94%20%EB%82%98%EC%9D%98%20%EC%9D%B4%EB%A6%84%29</t>
        </is>
      </c>
    </row>
    <row r="214" ht="15" customHeight="1" s="17">
      <c r="A214" s="21" t="inlineStr">
        <is>
          <t>S213</t>
        </is>
      </c>
      <c r="B214" s="22" t="inlineStr">
        <is>
          <t>Love Shot</t>
        </is>
      </c>
      <c r="C214" s="22" t="inlineStr">
        <is>
          <t>EXO</t>
        </is>
      </c>
      <c r="D214" s="23" t="inlineStr">
        <is>
          <t>2018</t>
        </is>
      </c>
      <c r="E214" s="24" t="inlineStr">
        <is>
          <t>센치감성</t>
        </is>
      </c>
      <c r="F214" s="25" t="inlineStr">
        <is>
          <t>밤바다</t>
        </is>
      </c>
      <c r="G214" s="24" t="inlineStr">
        <is>
          <t>남돌</t>
        </is>
      </c>
      <c r="H214" s="22" t="n"/>
      <c r="I214" s="22">
        <f>IF($H294="","","https://youtu.be/"&amp;$H294)</f>
        <v/>
      </c>
      <c r="J214" s="22">
        <f>IF($H294="","","https://music.youtube.com/watch?v="&amp;$H294)</f>
        <v/>
      </c>
      <c r="K214" s="22">
        <f>IF($H294="","","https://img.youtube.com/vi/"&amp;$H294&amp;"/hqdefault.jpg")</f>
        <v/>
      </c>
      <c r="L214" s="24" t="inlineStr">
        <is>
          <t>확인필요</t>
        </is>
      </c>
      <c r="M214" s="21" t="inlineStr">
        <is>
          <t>N</t>
        </is>
      </c>
      <c r="N214" s="24" t="inlineStr">
        <is>
          <t>높음</t>
        </is>
      </c>
      <c r="O214" s="25" t="inlineStr">
        <is>
          <t>씨앗(검증 전)</t>
        </is>
      </c>
      <c r="P214" s="22" t="inlineStr">
        <is>
          <t>https://www.youtube.com/results?search_query=EXO%20Love%20Shot</t>
        </is>
      </c>
      <c r="Q214" s="22" t="inlineStr">
        <is>
          <t>https://music.youtube.com/search?q=EXO%20Love%20Shot</t>
        </is>
      </c>
    </row>
    <row r="215" ht="15" customHeight="1" s="17">
      <c r="A215" s="21" t="inlineStr">
        <is>
          <t>S214</t>
        </is>
      </c>
      <c r="B215" s="22" t="inlineStr">
        <is>
          <t>Shoot Out</t>
        </is>
      </c>
      <c r="C215" s="25" t="inlineStr">
        <is>
          <t>몬스타엑스</t>
        </is>
      </c>
      <c r="D215" s="23" t="inlineStr">
        <is>
          <t>2018</t>
        </is>
      </c>
      <c r="E215" s="24" t="inlineStr">
        <is>
          <t>센치감성</t>
        </is>
      </c>
      <c r="F215" s="25" t="inlineStr">
        <is>
          <t>밤바다</t>
        </is>
      </c>
      <c r="G215" s="24" t="inlineStr">
        <is>
          <t>남돌</t>
        </is>
      </c>
      <c r="H215" s="22" t="n"/>
      <c r="I215" s="22">
        <f>IF($H295="","","https://youtu.be/"&amp;$H295)</f>
        <v/>
      </c>
      <c r="J215" s="22">
        <f>IF($H295="","","https://music.youtube.com/watch?v="&amp;$H295)</f>
        <v/>
      </c>
      <c r="K215" s="22">
        <f>IF($H295="","","https://img.youtube.com/vi/"&amp;$H295&amp;"/hqdefault.jpg")</f>
        <v/>
      </c>
      <c r="L215" s="24" t="inlineStr">
        <is>
          <t>확인필요</t>
        </is>
      </c>
      <c r="M215" s="21" t="inlineStr">
        <is>
          <t>N</t>
        </is>
      </c>
      <c r="N215" s="24" t="inlineStr">
        <is>
          <t>높음</t>
        </is>
      </c>
      <c r="O215" s="25" t="inlineStr">
        <is>
          <t>씨앗(검증 전)</t>
        </is>
      </c>
      <c r="P215" s="22" t="inlineStr">
        <is>
          <t>https://www.youtube.com/results?search_query=%EB%AA%AC%EC%8A%A4%ED%83%80%EC%97%91%EC%8A%A4%20Shoot%20Out</t>
        </is>
      </c>
      <c r="Q215" s="22" t="inlineStr">
        <is>
          <t>https://music.youtube.com/search?q=%EB%AA%AC%EC%8A%A4%ED%83%80%EC%97%91%EC%8A%A4%20Shoot%20Out</t>
        </is>
      </c>
    </row>
    <row r="216" ht="15" customHeight="1" s="17">
      <c r="A216" s="21" t="inlineStr">
        <is>
          <t>S215</t>
        </is>
      </c>
      <c r="B216" s="25" t="inlineStr">
        <is>
          <t>투명 우산</t>
        </is>
      </c>
      <c r="C216" s="25" t="inlineStr">
        <is>
          <t>샤이니</t>
        </is>
      </c>
      <c r="D216" s="23" t="inlineStr">
        <is>
          <t>2016</t>
        </is>
      </c>
      <c r="E216" s="24" t="inlineStr">
        <is>
          <t>센치감성</t>
        </is>
      </c>
      <c r="F216" s="25" t="inlineStr">
        <is>
          <t>비오는날, 밤바다</t>
        </is>
      </c>
      <c r="G216" s="24" t="inlineStr">
        <is>
          <t>남돌</t>
        </is>
      </c>
      <c r="H216" s="22" t="inlineStr">
        <is>
          <t>DbaLDf7gmTQ</t>
        </is>
      </c>
      <c r="I216" s="22">
        <f>IF($H298="","","https://youtu.be/"&amp;$H298)</f>
        <v/>
      </c>
      <c r="J216" s="22">
        <f>IF($H298="","","https://music.youtube.com/watch?v="&amp;$H298)</f>
        <v/>
      </c>
      <c r="K216" s="22">
        <f>IF($H298="","","https://img.youtube.com/vi/"&amp;$H298&amp;"/hqdefault.jpg")</f>
        <v/>
      </c>
      <c r="L216" s="24" t="inlineStr">
        <is>
          <t>확인필요</t>
        </is>
      </c>
      <c r="M216" s="21" t="inlineStr">
        <is>
          <t>N</t>
        </is>
      </c>
      <c r="N216" s="24" t="inlineStr">
        <is>
          <t>높음</t>
        </is>
      </c>
      <c r="O216" s="25" t="inlineStr">
        <is>
          <t>참조: 정민재 '비 오는 날 듣는 가요 30'</t>
        </is>
      </c>
      <c r="P216" s="22" t="inlineStr">
        <is>
          <t>https://youtu.be/DbaLDf7gmTQ</t>
        </is>
      </c>
      <c r="Q216" s="22" t="inlineStr">
        <is>
          <t>https://music.youtube.com/watch?v=DbaLDf7gmTQ</t>
        </is>
      </c>
    </row>
    <row r="217" ht="15" customHeight="1" s="17">
      <c r="A217" s="21" t="inlineStr">
        <is>
          <t>S216</t>
        </is>
      </c>
      <c r="B217" s="22" t="inlineStr">
        <is>
          <t>That That</t>
        </is>
      </c>
      <c r="C217" s="25" t="inlineStr">
        <is>
          <t>싸이</t>
        </is>
      </c>
      <c r="D217" s="23" t="inlineStr">
        <is>
          <t>2022</t>
        </is>
      </c>
      <c r="E217" s="24" t="inlineStr">
        <is>
          <t>상큼발랄</t>
        </is>
      </c>
      <c r="F217" s="25" t="inlineStr">
        <is>
          <t>바다</t>
        </is>
      </c>
      <c r="G217" s="24" t="inlineStr">
        <is>
          <t>솔로</t>
        </is>
      </c>
      <c r="H217" s="22" t="n"/>
      <c r="I217" s="22">
        <f>IF($H303="","","https://youtu.be/"&amp;$H303)</f>
        <v/>
      </c>
      <c r="J217" s="22">
        <f>IF($H303="","","https://music.youtube.com/watch?v="&amp;$H303)</f>
        <v/>
      </c>
      <c r="K217" s="22">
        <f>IF($H303="","","https://img.youtube.com/vi/"&amp;$H303&amp;"/hqdefault.jpg")</f>
        <v/>
      </c>
      <c r="L217" s="24" t="inlineStr">
        <is>
          <t>확인필요</t>
        </is>
      </c>
      <c r="M217" s="21" t="inlineStr">
        <is>
          <t>N</t>
        </is>
      </c>
      <c r="N217" s="24" t="inlineStr">
        <is>
          <t>높음</t>
        </is>
      </c>
      <c r="O217" s="25" t="inlineStr">
        <is>
          <t>씨앗(검증 전)</t>
        </is>
      </c>
      <c r="P217" s="22" t="inlineStr">
        <is>
          <t>https://www.youtube.com/results?search_query=%EC%8B%B8%EC%9D%B4%20That%20That</t>
        </is>
      </c>
      <c r="Q217" s="22" t="inlineStr">
        <is>
          <t>https://music.youtube.com/search?q=%EC%8B%B8%EC%9D%B4%20That%20That</t>
        </is>
      </c>
    </row>
    <row r="218" ht="15" customHeight="1" s="17">
      <c r="A218" s="21" t="inlineStr">
        <is>
          <t>S217</t>
        </is>
      </c>
      <c r="B218" s="25" t="inlineStr">
        <is>
          <t>문어의 꿈</t>
        </is>
      </c>
      <c r="C218" s="25" t="inlineStr">
        <is>
          <t>안예은</t>
        </is>
      </c>
      <c r="D218" s="23" t="inlineStr">
        <is>
          <t>2022</t>
        </is>
      </c>
      <c r="E218" s="24" t="inlineStr">
        <is>
          <t>상큼발랄</t>
        </is>
      </c>
      <c r="F218" s="25" t="inlineStr">
        <is>
          <t>바다</t>
        </is>
      </c>
      <c r="G218" s="24" t="inlineStr">
        <is>
          <t>솔로</t>
        </is>
      </c>
      <c r="H218" s="22" t="n"/>
      <c r="I218" s="22">
        <f>IF($H304="","","https://youtu.be/"&amp;$H304)</f>
        <v/>
      </c>
      <c r="J218" s="22">
        <f>IF($H304="","","https://music.youtube.com/watch?v="&amp;$H304)</f>
        <v/>
      </c>
      <c r="K218" s="22">
        <f>IF($H304="","","https://img.youtube.com/vi/"&amp;$H304&amp;"/hqdefault.jpg")</f>
        <v/>
      </c>
      <c r="L218" s="24" t="inlineStr">
        <is>
          <t>확인필요</t>
        </is>
      </c>
      <c r="M218" s="21" t="inlineStr">
        <is>
          <t>N</t>
        </is>
      </c>
      <c r="N218" s="24" t="inlineStr">
        <is>
          <t>높음</t>
        </is>
      </c>
      <c r="O218" s="25" t="inlineStr">
        <is>
          <t>씨앗(검증 전)</t>
        </is>
      </c>
      <c r="P218" s="22" t="inlineStr">
        <is>
          <t>https://www.youtube.com/results?search_query=%EC%95%88%EC%98%88%EC%9D%80%20%EB%AC%B8%EC%96%B4%EC%9D%98%20%EA%BF%88</t>
        </is>
      </c>
      <c r="Q218" s="22" t="inlineStr">
        <is>
          <t>https://music.youtube.com/search?q=%EC%95%88%EC%98%88%EC%9D%80%20%EB%AC%B8%EC%96%B4%EC%9D%98%20%EA%BF%88</t>
        </is>
      </c>
    </row>
    <row r="219" ht="15" customHeight="1" s="17">
      <c r="A219" s="21" t="inlineStr">
        <is>
          <t>S218</t>
        </is>
      </c>
      <c r="B219" s="22" t="inlineStr">
        <is>
          <t>Gentleman</t>
        </is>
      </c>
      <c r="C219" s="25" t="inlineStr">
        <is>
          <t>싸이</t>
        </is>
      </c>
      <c r="D219" s="23" t="inlineStr">
        <is>
          <t>2013</t>
        </is>
      </c>
      <c r="E219" s="24" t="inlineStr">
        <is>
          <t>상큼발랄</t>
        </is>
      </c>
      <c r="F219" s="25" t="inlineStr">
        <is>
          <t>바다</t>
        </is>
      </c>
      <c r="G219" s="24" t="inlineStr">
        <is>
          <t>솔로</t>
        </is>
      </c>
      <c r="H219" s="22" t="n"/>
      <c r="I219" s="22">
        <f>IF($H311="","","https://youtu.be/"&amp;$H311)</f>
        <v/>
      </c>
      <c r="J219" s="22">
        <f>IF($H311="","","https://music.youtube.com/watch?v="&amp;$H311)</f>
        <v/>
      </c>
      <c r="K219" s="22">
        <f>IF($H311="","","https://img.youtube.com/vi/"&amp;$H311&amp;"/hqdefault.jpg")</f>
        <v/>
      </c>
      <c r="L219" s="24" t="inlineStr">
        <is>
          <t>확인필요</t>
        </is>
      </c>
      <c r="M219" s="21" t="inlineStr">
        <is>
          <t>N</t>
        </is>
      </c>
      <c r="N219" s="24" t="inlineStr">
        <is>
          <t>높음</t>
        </is>
      </c>
      <c r="O219" s="25" t="inlineStr">
        <is>
          <t>씨앗(검증 전)</t>
        </is>
      </c>
      <c r="P219" s="22" t="inlineStr">
        <is>
          <t>https://www.youtube.com/results?search_query=%EC%8B%B8%EC%9D%B4%20Gentleman</t>
        </is>
      </c>
      <c r="Q219" s="22" t="inlineStr">
        <is>
          <t>https://music.youtube.com/search?q=%EC%8B%B8%EC%9D%B4%20Gentleman</t>
        </is>
      </c>
    </row>
    <row r="220" ht="15" customHeight="1" s="17">
      <c r="A220" s="21" t="inlineStr">
        <is>
          <t>S219</t>
        </is>
      </c>
      <c r="B220" s="25" t="inlineStr">
        <is>
          <t>강남스타일</t>
        </is>
      </c>
      <c r="C220" s="25" t="inlineStr">
        <is>
          <t>싸이</t>
        </is>
      </c>
      <c r="D220" s="23" t="inlineStr">
        <is>
          <t>2012</t>
        </is>
      </c>
      <c r="E220" s="24" t="inlineStr">
        <is>
          <t>상큼발랄</t>
        </is>
      </c>
      <c r="F220" s="25" t="inlineStr">
        <is>
          <t>바다</t>
        </is>
      </c>
      <c r="G220" s="24" t="inlineStr">
        <is>
          <t>솔로</t>
        </is>
      </c>
      <c r="H220" s="22" t="n"/>
      <c r="I220" s="22">
        <f>IF($H312="","","https://youtu.be/"&amp;$H312)</f>
        <v/>
      </c>
      <c r="J220" s="22">
        <f>IF($H312="","","https://music.youtube.com/watch?v="&amp;$H312)</f>
        <v/>
      </c>
      <c r="K220" s="22">
        <f>IF($H312="","","https://img.youtube.com/vi/"&amp;$H312&amp;"/hqdefault.jpg")</f>
        <v/>
      </c>
      <c r="L220" s="24" t="inlineStr">
        <is>
          <t>확인필요</t>
        </is>
      </c>
      <c r="M220" s="21" t="inlineStr">
        <is>
          <t>N</t>
        </is>
      </c>
      <c r="N220" s="24" t="inlineStr">
        <is>
          <t>높음</t>
        </is>
      </c>
      <c r="O220" s="25" t="inlineStr">
        <is>
          <t>씨앗(검증 전)</t>
        </is>
      </c>
      <c r="P220" s="22" t="inlineStr">
        <is>
          <t>https://www.youtube.com/results?search_query=%EC%8B%B8%EC%9D%B4%20%EA%B0%95%EB%82%A8%EC%8A%A4%ED%83%80%EC%9D%BC</t>
        </is>
      </c>
      <c r="Q220" s="22" t="inlineStr">
        <is>
          <t>https://music.youtube.com/search?q=%EC%8B%B8%EC%9D%B4%20%EA%B0%95%EB%82%A8%EC%8A%A4%ED%83%80%EC%9D%BC</t>
        </is>
      </c>
    </row>
    <row r="221" ht="15" customHeight="1" s="17">
      <c r="A221" s="21" t="inlineStr">
        <is>
          <t>S220</t>
        </is>
      </c>
      <c r="B221" s="22" t="inlineStr">
        <is>
          <t>Fast Forward</t>
        </is>
      </c>
      <c r="C221" s="25" t="inlineStr">
        <is>
          <t>전소미</t>
        </is>
      </c>
      <c r="D221" s="23" t="inlineStr">
        <is>
          <t>2023</t>
        </is>
      </c>
      <c r="E221" s="24" t="inlineStr">
        <is>
          <t>청량시원</t>
        </is>
      </c>
      <c r="F221" s="25" t="inlineStr">
        <is>
          <t>바다</t>
        </is>
      </c>
      <c r="G221" s="24" t="inlineStr">
        <is>
          <t>솔로</t>
        </is>
      </c>
      <c r="H221" s="22" t="n"/>
      <c r="I221" s="22">
        <f>IF($H313="","","https://youtu.be/"&amp;$H313)</f>
        <v/>
      </c>
      <c r="J221" s="22">
        <f>IF($H313="","","https://music.youtube.com/watch?v="&amp;$H313)</f>
        <v/>
      </c>
      <c r="K221" s="22">
        <f>IF($H313="","","https://img.youtube.com/vi/"&amp;$H313&amp;"/hqdefault.jpg")</f>
        <v/>
      </c>
      <c r="L221" s="24" t="inlineStr">
        <is>
          <t>확인필요</t>
        </is>
      </c>
      <c r="M221" s="21" t="inlineStr">
        <is>
          <t>N</t>
        </is>
      </c>
      <c r="N221" s="24" t="inlineStr">
        <is>
          <t>높음</t>
        </is>
      </c>
      <c r="O221" s="25" t="inlineStr">
        <is>
          <t>씨앗(검증 전)</t>
        </is>
      </c>
      <c r="P221" s="22" t="inlineStr">
        <is>
          <t>https://www.youtube.com/results?search_query=%EC%A0%84%EC%86%8C%EB%AF%B8%20Fast%20Forward</t>
        </is>
      </c>
      <c r="Q221" s="22" t="inlineStr">
        <is>
          <t>https://music.youtube.com/search?q=%EC%A0%84%EC%86%8C%EB%AF%B8%20Fast%20Forward</t>
        </is>
      </c>
    </row>
    <row r="222" ht="15" customHeight="1" s="17">
      <c r="A222" s="21" t="inlineStr">
        <is>
          <t>S221</t>
        </is>
      </c>
      <c r="B222" s="22" t="inlineStr">
        <is>
          <t>Rover</t>
        </is>
      </c>
      <c r="C222" s="25" t="inlineStr">
        <is>
          <t>카이</t>
        </is>
      </c>
      <c r="D222" s="23" t="inlineStr">
        <is>
          <t>2023</t>
        </is>
      </c>
      <c r="E222" s="24" t="inlineStr">
        <is>
          <t>청량시원</t>
        </is>
      </c>
      <c r="F222" s="25" t="inlineStr">
        <is>
          <t>바다, 드라이브</t>
        </is>
      </c>
      <c r="G222" s="24" t="inlineStr">
        <is>
          <t>솔로</t>
        </is>
      </c>
      <c r="H222" s="22" t="n"/>
      <c r="I222" s="22">
        <f>IF($H314="","","https://youtu.be/"&amp;$H314)</f>
        <v/>
      </c>
      <c r="J222" s="22">
        <f>IF($H314="","","https://music.youtube.com/watch?v="&amp;$H314)</f>
        <v/>
      </c>
      <c r="K222" s="22">
        <f>IF($H314="","","https://img.youtube.com/vi/"&amp;$H314&amp;"/hqdefault.jpg")</f>
        <v/>
      </c>
      <c r="L222" s="24" t="inlineStr">
        <is>
          <t>확인필요</t>
        </is>
      </c>
      <c r="M222" s="21" t="inlineStr">
        <is>
          <t>N</t>
        </is>
      </c>
      <c r="N222" s="24" t="inlineStr">
        <is>
          <t>높음</t>
        </is>
      </c>
      <c r="O222" s="25" t="inlineStr">
        <is>
          <t>씨앗(검증 전)</t>
        </is>
      </c>
      <c r="P222" s="22" t="inlineStr">
        <is>
          <t>https://www.youtube.com/results?search_query=%EC%B9%B4%EC%9D%B4%20Rover</t>
        </is>
      </c>
      <c r="Q222" s="22" t="inlineStr">
        <is>
          <t>https://music.youtube.com/search?q=%EC%B9%B4%EC%9D%B4%20Rover</t>
        </is>
      </c>
    </row>
    <row r="223" ht="15" customHeight="1" s="17">
      <c r="A223" s="21" t="inlineStr">
        <is>
          <t>S222</t>
        </is>
      </c>
      <c r="B223" s="22" t="inlineStr">
        <is>
          <t>GLASSY</t>
        </is>
      </c>
      <c r="C223" s="25" t="inlineStr">
        <is>
          <t>조유리</t>
        </is>
      </c>
      <c r="D223" s="23" t="inlineStr">
        <is>
          <t>2022</t>
        </is>
      </c>
      <c r="E223" s="24" t="inlineStr">
        <is>
          <t>청량시원</t>
        </is>
      </c>
      <c r="F223" s="25" t="inlineStr">
        <is>
          <t>바다, 드라이브</t>
        </is>
      </c>
      <c r="G223" s="24" t="inlineStr">
        <is>
          <t>솔로</t>
        </is>
      </c>
      <c r="H223" s="22" t="n"/>
      <c r="I223" s="22">
        <f>IF($H315="","","https://youtu.be/"&amp;$H315)</f>
        <v/>
      </c>
      <c r="J223" s="22">
        <f>IF($H315="","","https://music.youtube.com/watch?v="&amp;$H315)</f>
        <v/>
      </c>
      <c r="K223" s="22">
        <f>IF($H315="","","https://img.youtube.com/vi/"&amp;$H315&amp;"/hqdefault.jpg")</f>
        <v/>
      </c>
      <c r="L223" s="24" t="inlineStr">
        <is>
          <t>확인필요</t>
        </is>
      </c>
      <c r="M223" s="21" t="inlineStr">
        <is>
          <t>N</t>
        </is>
      </c>
      <c r="N223" s="24" t="inlineStr">
        <is>
          <t>높음</t>
        </is>
      </c>
      <c r="O223" s="25" t="inlineStr">
        <is>
          <t>씨앗(검증 전)</t>
        </is>
      </c>
      <c r="P223" s="22" t="inlineStr">
        <is>
          <t>https://www.youtube.com/results?search_query=%EC%A1%B0%EC%9C%A0%EB%A6%AC%20GLASSY</t>
        </is>
      </c>
      <c r="Q223" s="22" t="inlineStr">
        <is>
          <t>https://music.youtube.com/search?q=%EC%A1%B0%EC%9C%A0%EB%A6%AC%20GLASSY</t>
        </is>
      </c>
    </row>
    <row r="224" ht="15" customHeight="1" s="17">
      <c r="A224" s="21" t="inlineStr">
        <is>
          <t>S223</t>
        </is>
      </c>
      <c r="B224" s="22" t="inlineStr">
        <is>
          <t>Bicycle</t>
        </is>
      </c>
      <c r="C224" s="25" t="inlineStr">
        <is>
          <t>청하</t>
        </is>
      </c>
      <c r="D224" s="23" t="inlineStr">
        <is>
          <t>2021</t>
        </is>
      </c>
      <c r="E224" s="24" t="inlineStr">
        <is>
          <t>청량시원</t>
        </is>
      </c>
      <c r="F224" s="25" t="inlineStr">
        <is>
          <t>드라이브</t>
        </is>
      </c>
      <c r="G224" s="24" t="inlineStr">
        <is>
          <t>솔로</t>
        </is>
      </c>
      <c r="H224" s="22" t="n"/>
      <c r="I224" s="22">
        <f>IF($H316="","","https://youtu.be/"&amp;$H316)</f>
        <v/>
      </c>
      <c r="J224" s="22">
        <f>IF($H316="","","https://music.youtube.com/watch?v="&amp;$H316)</f>
        <v/>
      </c>
      <c r="K224" s="22">
        <f>IF($H316="","","https://img.youtube.com/vi/"&amp;$H316&amp;"/hqdefault.jpg")</f>
        <v/>
      </c>
      <c r="L224" s="24" t="inlineStr">
        <is>
          <t>확인필요</t>
        </is>
      </c>
      <c r="M224" s="21" t="inlineStr">
        <is>
          <t>N</t>
        </is>
      </c>
      <c r="N224" s="24" t="inlineStr">
        <is>
          <t>높음</t>
        </is>
      </c>
      <c r="O224" s="25" t="inlineStr">
        <is>
          <t>씨앗(검증 전)</t>
        </is>
      </c>
      <c r="P224" s="22" t="inlineStr">
        <is>
          <t>https://www.youtube.com/results?search_query=%EC%B2%AD%ED%95%98%20Bicycle</t>
        </is>
      </c>
      <c r="Q224" s="22" t="inlineStr">
        <is>
          <t>https://music.youtube.com/search?q=%EC%B2%AD%ED%95%98%20Bicycle</t>
        </is>
      </c>
    </row>
    <row r="225" ht="15" customHeight="1" s="17">
      <c r="A225" s="21" t="inlineStr">
        <is>
          <t>S224</t>
        </is>
      </c>
      <c r="B225" s="22" t="inlineStr">
        <is>
          <t>PLAY</t>
        </is>
      </c>
      <c r="C225" s="25" t="inlineStr">
        <is>
          <t>청하</t>
        </is>
      </c>
      <c r="D225" s="23" t="inlineStr">
        <is>
          <t>2021</t>
        </is>
      </c>
      <c r="E225" s="24" t="inlineStr">
        <is>
          <t>청량시원</t>
        </is>
      </c>
      <c r="F225" s="25" t="inlineStr">
        <is>
          <t>바다</t>
        </is>
      </c>
      <c r="G225" s="24" t="inlineStr">
        <is>
          <t>솔로</t>
        </is>
      </c>
      <c r="H225" s="22" t="n"/>
      <c r="I225" s="22">
        <f>IF($H317="","","https://youtu.be/"&amp;$H317)</f>
        <v/>
      </c>
      <c r="J225" s="22">
        <f>IF($H317="","","https://music.youtube.com/watch?v="&amp;$H317)</f>
        <v/>
      </c>
      <c r="K225" s="22">
        <f>IF($H317="","","https://img.youtube.com/vi/"&amp;$H317&amp;"/hqdefault.jpg")</f>
        <v/>
      </c>
      <c r="L225" s="24" t="inlineStr">
        <is>
          <t>확인필요</t>
        </is>
      </c>
      <c r="M225" s="21" t="inlineStr">
        <is>
          <t>N</t>
        </is>
      </c>
      <c r="N225" s="24" t="inlineStr">
        <is>
          <t>높음</t>
        </is>
      </c>
      <c r="O225" s="25" t="inlineStr">
        <is>
          <t>씨앗(검증 전)</t>
        </is>
      </c>
      <c r="P225" s="22" t="inlineStr">
        <is>
          <t>https://www.youtube.com/results?search_query=%EC%B2%AD%ED%95%98%20PLAY</t>
        </is>
      </c>
      <c r="Q225" s="22" t="inlineStr">
        <is>
          <t>https://music.youtube.com/search?q=%EC%B2%AD%ED%95%98%20PLAY</t>
        </is>
      </c>
    </row>
    <row r="226" ht="15" customHeight="1" s="17">
      <c r="A226" s="21" t="inlineStr">
        <is>
          <t>S225</t>
        </is>
      </c>
      <c r="B226" s="22" t="inlineStr">
        <is>
          <t>Weekend</t>
        </is>
      </c>
      <c r="C226" s="25" t="inlineStr">
        <is>
          <t>태연</t>
        </is>
      </c>
      <c r="D226" s="23" t="inlineStr">
        <is>
          <t>2021</t>
        </is>
      </c>
      <c r="E226" s="24" t="inlineStr">
        <is>
          <t>청량시원</t>
        </is>
      </c>
      <c r="F226" s="25" t="inlineStr">
        <is>
          <t>바다, 드라이브</t>
        </is>
      </c>
      <c r="G226" s="24" t="inlineStr">
        <is>
          <t>솔로</t>
        </is>
      </c>
      <c r="H226" s="22" t="n"/>
      <c r="I226" s="22">
        <f>IF($H318="","","https://youtu.be/"&amp;$H318)</f>
        <v/>
      </c>
      <c r="J226" s="22">
        <f>IF($H318="","","https://music.youtube.com/watch?v="&amp;$H318)</f>
        <v/>
      </c>
      <c r="K226" s="22">
        <f>IF($H318="","","https://img.youtube.com/vi/"&amp;$H318&amp;"/hqdefault.jpg")</f>
        <v/>
      </c>
      <c r="L226" s="24" t="inlineStr">
        <is>
          <t>확인필요</t>
        </is>
      </c>
      <c r="M226" s="21" t="inlineStr">
        <is>
          <t>N</t>
        </is>
      </c>
      <c r="N226" s="24" t="inlineStr">
        <is>
          <t>높음</t>
        </is>
      </c>
      <c r="O226" s="25" t="inlineStr">
        <is>
          <t>씨앗(검증 전)</t>
        </is>
      </c>
      <c r="P226" s="22" t="inlineStr">
        <is>
          <t>https://www.youtube.com/results?search_query=%ED%83%9C%EC%97%B0%20Weekend</t>
        </is>
      </c>
      <c r="Q226" s="22" t="inlineStr">
        <is>
          <t>https://music.youtube.com/search?q=%ED%83%9C%EC%97%B0%20Weekend</t>
        </is>
      </c>
    </row>
    <row r="227" ht="15" customHeight="1" s="17">
      <c r="A227" s="21" t="inlineStr">
        <is>
          <t>S226</t>
        </is>
      </c>
      <c r="B227" s="22" t="inlineStr">
        <is>
          <t>María</t>
        </is>
      </c>
      <c r="C227" s="25" t="inlineStr">
        <is>
          <t>화사</t>
        </is>
      </c>
      <c r="D227" s="23" t="inlineStr">
        <is>
          <t>2020</t>
        </is>
      </c>
      <c r="E227" s="24" t="inlineStr">
        <is>
          <t>청량시원</t>
        </is>
      </c>
      <c r="F227" s="25" t="inlineStr">
        <is>
          <t>드라이브</t>
        </is>
      </c>
      <c r="G227" s="24" t="inlineStr">
        <is>
          <t>솔로</t>
        </is>
      </c>
      <c r="H227" s="22" t="n"/>
      <c r="I227" s="22">
        <f>IF($H319="","","https://youtu.be/"&amp;$H319)</f>
        <v/>
      </c>
      <c r="J227" s="22">
        <f>IF($H319="","","https://music.youtube.com/watch?v="&amp;$H319)</f>
        <v/>
      </c>
      <c r="K227" s="22">
        <f>IF($H319="","","https://img.youtube.com/vi/"&amp;$H319&amp;"/hqdefault.jpg")</f>
        <v/>
      </c>
      <c r="L227" s="24" t="inlineStr">
        <is>
          <t>확인필요</t>
        </is>
      </c>
      <c r="M227" s="21" t="inlineStr">
        <is>
          <t>N</t>
        </is>
      </c>
      <c r="N227" s="24" t="inlineStr">
        <is>
          <t>높음</t>
        </is>
      </c>
      <c r="O227" s="25" t="inlineStr">
        <is>
          <t>씨앗(검증 전)</t>
        </is>
      </c>
      <c r="P227" s="22" t="inlineStr">
        <is>
          <t>https://www.youtube.com/results?search_query=%ED%99%94%EC%82%AC%20Mar%C3%ADa</t>
        </is>
      </c>
      <c r="Q227" s="22" t="inlineStr">
        <is>
          <t>https://music.youtube.com/search?q=%ED%99%94%EC%82%AC%20Mar%C3%ADa</t>
        </is>
      </c>
    </row>
    <row r="228" ht="15" customHeight="1" s="17">
      <c r="A228" s="21" t="inlineStr">
        <is>
          <t>S227</t>
        </is>
      </c>
      <c r="B228" s="22" t="inlineStr">
        <is>
          <t>Stay Tonight</t>
        </is>
      </c>
      <c r="C228" s="25" t="inlineStr">
        <is>
          <t>청하</t>
        </is>
      </c>
      <c r="D228" s="23" t="inlineStr">
        <is>
          <t>2020</t>
        </is>
      </c>
      <c r="E228" s="24" t="inlineStr">
        <is>
          <t>청량시원</t>
        </is>
      </c>
      <c r="F228" s="25" t="inlineStr">
        <is>
          <t>드라이브</t>
        </is>
      </c>
      <c r="G228" s="24" t="inlineStr">
        <is>
          <t>솔로</t>
        </is>
      </c>
      <c r="H228" s="22" t="n"/>
      <c r="I228" s="22">
        <f>IF($H320="","","https://youtu.be/"&amp;$H320)</f>
        <v/>
      </c>
      <c r="J228" s="22">
        <f>IF($H320="","","https://music.youtube.com/watch?v="&amp;$H320)</f>
        <v/>
      </c>
      <c r="K228" s="22">
        <f>IF($H320="","","https://img.youtube.com/vi/"&amp;$H320&amp;"/hqdefault.jpg")</f>
        <v/>
      </c>
      <c r="L228" s="24" t="inlineStr">
        <is>
          <t>확인필요</t>
        </is>
      </c>
      <c r="M228" s="21" t="inlineStr">
        <is>
          <t>N</t>
        </is>
      </c>
      <c r="N228" s="24" t="inlineStr">
        <is>
          <t>높음</t>
        </is>
      </c>
      <c r="O228" s="25" t="inlineStr">
        <is>
          <t>씨앗(검증 전)</t>
        </is>
      </c>
      <c r="P228" s="22" t="inlineStr">
        <is>
          <t>https://www.youtube.com/results?search_query=%EC%B2%AD%ED%95%98%20Stay%20Tonight</t>
        </is>
      </c>
      <c r="Q228" s="22" t="inlineStr">
        <is>
          <t>https://music.youtube.com/search?q=%EC%B2%AD%ED%95%98%20Stay%20Tonight</t>
        </is>
      </c>
    </row>
    <row r="229" ht="15" customHeight="1" s="17">
      <c r="A229" s="21" t="inlineStr">
        <is>
          <t>S228</t>
        </is>
      </c>
      <c r="B229" s="22" t="inlineStr">
        <is>
          <t>XOXO</t>
        </is>
      </c>
      <c r="C229" s="25" t="inlineStr">
        <is>
          <t>전소미</t>
        </is>
      </c>
      <c r="D229" s="23" t="inlineStr">
        <is>
          <t>2022</t>
        </is>
      </c>
      <c r="E229" s="24" t="inlineStr">
        <is>
          <t>설렘두근</t>
        </is>
      </c>
      <c r="F229" s="25" t="inlineStr">
        <is>
          <t>밤바다</t>
        </is>
      </c>
      <c r="G229" s="24" t="inlineStr">
        <is>
          <t>솔로</t>
        </is>
      </c>
      <c r="H229" s="22" t="n"/>
      <c r="I229" s="22">
        <f>IF($H333="","","https://youtu.be/"&amp;$H333)</f>
        <v/>
      </c>
      <c r="J229" s="22">
        <f>IF($H333="","","https://music.youtube.com/watch?v="&amp;$H333)</f>
        <v/>
      </c>
      <c r="K229" s="22">
        <f>IF($H333="","","https://img.youtube.com/vi/"&amp;$H333&amp;"/hqdefault.jpg")</f>
        <v/>
      </c>
      <c r="L229" s="24" t="inlineStr">
        <is>
          <t>확인필요</t>
        </is>
      </c>
      <c r="M229" s="21" t="inlineStr">
        <is>
          <t>N</t>
        </is>
      </c>
      <c r="N229" s="24" t="inlineStr">
        <is>
          <t>높음</t>
        </is>
      </c>
      <c r="O229" s="25" t="inlineStr">
        <is>
          <t>씨앗(검증 전)</t>
        </is>
      </c>
      <c r="P229" s="22" t="inlineStr">
        <is>
          <t>https://www.youtube.com/results?search_query=%EC%A0%84%EC%86%8C%EB%AF%B8%20XOXO</t>
        </is>
      </c>
      <c r="Q229" s="22" t="inlineStr">
        <is>
          <t>https://music.youtube.com/search?q=%EC%A0%84%EC%86%8C%EB%AF%B8%20XOXO</t>
        </is>
      </c>
    </row>
    <row r="230" ht="15" customHeight="1" s="17">
      <c r="A230" s="21" t="inlineStr">
        <is>
          <t>S229</t>
        </is>
      </c>
      <c r="B230" s="22" t="inlineStr">
        <is>
          <t>Love</t>
        </is>
      </c>
      <c r="C230" s="25" t="inlineStr">
        <is>
          <t>죠지</t>
        </is>
      </c>
      <c r="D230" s="23" t="inlineStr">
        <is>
          <t>2020</t>
        </is>
      </c>
      <c r="E230" s="24" t="inlineStr">
        <is>
          <t>설렘두근</t>
        </is>
      </c>
      <c r="F230" s="25" t="inlineStr">
        <is>
          <t>밤바다</t>
        </is>
      </c>
      <c r="G230" s="24" t="inlineStr">
        <is>
          <t>솔로</t>
        </is>
      </c>
      <c r="H230" s="22" t="n"/>
      <c r="I230" s="22">
        <f>IF($H334="","","https://youtu.be/"&amp;$H334)</f>
        <v/>
      </c>
      <c r="J230" s="22">
        <f>IF($H334="","","https://music.youtube.com/watch?v="&amp;$H334)</f>
        <v/>
      </c>
      <c r="K230" s="22">
        <f>IF($H334="","","https://img.youtube.com/vi/"&amp;$H334&amp;"/hqdefault.jpg")</f>
        <v/>
      </c>
      <c r="L230" s="24" t="inlineStr">
        <is>
          <t>확인필요</t>
        </is>
      </c>
      <c r="M230" s="21" t="inlineStr">
        <is>
          <t>N</t>
        </is>
      </c>
      <c r="N230" s="24" t="inlineStr">
        <is>
          <t>높음</t>
        </is>
      </c>
      <c r="O230" s="25" t="inlineStr">
        <is>
          <t>씨앗(검증 전)</t>
        </is>
      </c>
      <c r="P230" s="22" t="inlineStr">
        <is>
          <t>https://www.youtube.com/results?search_query=%EC%A3%A0%EC%A7%80%20Love</t>
        </is>
      </c>
      <c r="Q230" s="22" t="inlineStr">
        <is>
          <t>https://music.youtube.com/search?q=%EC%A3%A0%EC%A7%80%20Love</t>
        </is>
      </c>
    </row>
    <row r="231" ht="15" customHeight="1" s="17">
      <c r="A231" s="21" t="inlineStr">
        <is>
          <t>S230</t>
        </is>
      </c>
      <c r="B231" s="25" t="inlineStr">
        <is>
          <t>그때 그 순간 그대로</t>
        </is>
      </c>
      <c r="C231" s="25" t="inlineStr">
        <is>
          <t>죠지</t>
        </is>
      </c>
      <c r="D231" s="23" t="inlineStr">
        <is>
          <t>2020</t>
        </is>
      </c>
      <c r="E231" s="24" t="inlineStr">
        <is>
          <t>설렘두근</t>
        </is>
      </c>
      <c r="F231" s="25" t="inlineStr">
        <is>
          <t>밤바다, 드라이브</t>
        </is>
      </c>
      <c r="G231" s="24" t="inlineStr">
        <is>
          <t>솔로</t>
        </is>
      </c>
      <c r="H231" s="22" t="n"/>
      <c r="I231" s="22">
        <f>IF($H335="","","https://youtu.be/"&amp;$H335)</f>
        <v/>
      </c>
      <c r="J231" s="22">
        <f>IF($H335="","","https://music.youtube.com/watch?v="&amp;$H335)</f>
        <v/>
      </c>
      <c r="K231" s="22">
        <f>IF($H335="","","https://img.youtube.com/vi/"&amp;$H335&amp;"/hqdefault.jpg")</f>
        <v/>
      </c>
      <c r="L231" s="24" t="inlineStr">
        <is>
          <t>확인필요</t>
        </is>
      </c>
      <c r="M231" s="21" t="inlineStr">
        <is>
          <t>N</t>
        </is>
      </c>
      <c r="N231" s="24" t="inlineStr">
        <is>
          <t>높음</t>
        </is>
      </c>
      <c r="O231" s="25" t="inlineStr">
        <is>
          <t>씨앗(검증 전)</t>
        </is>
      </c>
      <c r="P231" s="22" t="inlineStr">
        <is>
          <t>https://www.youtube.com/results?search_query=%EC%A3%A0%EC%A7%80%20%EA%B7%B8%EB%95%8C%20%EA%B7%B8%20%EC%88%9C%EA%B0%84%20%EA%B7%B8%EB%8C%80%EB%A1%9C</t>
        </is>
      </c>
      <c r="Q231" s="22" t="inlineStr">
        <is>
          <t>https://music.youtube.com/search?q=%EC%A3%A0%EC%A7%80%20%EA%B7%B8%EB%95%8C%20%EA%B7%B8%20%EC%88%9C%EA%B0%84%20%EA%B7%B8%EB%8C%80%EB%A1%9C</t>
        </is>
      </c>
    </row>
    <row r="232" ht="15" customHeight="1" s="17">
      <c r="A232" s="21" t="inlineStr">
        <is>
          <t>S231</t>
        </is>
      </c>
      <c r="B232" s="25" t="inlineStr">
        <is>
          <t>너를 위해 부르는 노래</t>
        </is>
      </c>
      <c r="C232" s="25" t="inlineStr">
        <is>
          <t>규현</t>
        </is>
      </c>
      <c r="D232" s="23" t="inlineStr">
        <is>
          <t>2020</t>
        </is>
      </c>
      <c r="E232" s="24" t="inlineStr">
        <is>
          <t>설렘두근</t>
        </is>
      </c>
      <c r="F232" s="25" t="inlineStr">
        <is>
          <t>밤바다</t>
        </is>
      </c>
      <c r="G232" s="24" t="inlineStr">
        <is>
          <t>솔로</t>
        </is>
      </c>
      <c r="H232" s="22" t="n"/>
      <c r="I232" s="22">
        <f>IF($H336="","","https://youtu.be/"&amp;$H336)</f>
        <v/>
      </c>
      <c r="J232" s="22">
        <f>IF($H336="","","https://music.youtube.com/watch?v="&amp;$H336)</f>
        <v/>
      </c>
      <c r="K232" s="22">
        <f>IF($H336="","","https://img.youtube.com/vi/"&amp;$H336&amp;"/hqdefault.jpg")</f>
        <v/>
      </c>
      <c r="L232" s="24" t="inlineStr">
        <is>
          <t>확인필요</t>
        </is>
      </c>
      <c r="M232" s="21" t="inlineStr">
        <is>
          <t>N</t>
        </is>
      </c>
      <c r="N232" s="24" t="inlineStr">
        <is>
          <t>높음</t>
        </is>
      </c>
      <c r="O232" s="25" t="inlineStr">
        <is>
          <t>씨앗(검증 전)</t>
        </is>
      </c>
      <c r="P232" s="22" t="inlineStr">
        <is>
          <t>https://www.youtube.com/results?search_query=%EA%B7%9C%ED%98%84%20%EB%84%88%EB%A5%BC%20%EC%9C%84%ED%95%B4%20%EB%B6%80%EB%A5%B4%EB%8A%94%20%EB%85%B8%EB%9E%98</t>
        </is>
      </c>
      <c r="Q232" s="22" t="inlineStr">
        <is>
          <t>https://music.youtube.com/search?q=%EA%B7%9C%ED%98%84%20%EB%84%88%EB%A5%BC%20%EC%9C%84%ED%95%B4%20%EB%B6%80%EB%A5%B4%EB%8A%94%20%EB%85%B8%EB%9E%98</t>
        </is>
      </c>
    </row>
    <row r="233" ht="15" customHeight="1" s="17">
      <c r="A233" s="21" t="inlineStr">
        <is>
          <t>S232</t>
        </is>
      </c>
      <c r="B233" s="25" t="inlineStr">
        <is>
          <t>음 (Mmmh)</t>
        </is>
      </c>
      <c r="C233" s="25" t="inlineStr">
        <is>
          <t>카이</t>
        </is>
      </c>
      <c r="D233" s="23" t="inlineStr">
        <is>
          <t>2020</t>
        </is>
      </c>
      <c r="E233" s="24" t="inlineStr">
        <is>
          <t>설렘두근</t>
        </is>
      </c>
      <c r="F233" s="25" t="inlineStr">
        <is>
          <t>밤바다</t>
        </is>
      </c>
      <c r="G233" s="24" t="inlineStr">
        <is>
          <t>솔로</t>
        </is>
      </c>
      <c r="H233" s="22" t="n"/>
      <c r="I233" s="22">
        <f>IF($H337="","","https://youtu.be/"&amp;$H337)</f>
        <v/>
      </c>
      <c r="J233" s="22">
        <f>IF($H337="","","https://music.youtube.com/watch?v="&amp;$H337)</f>
        <v/>
      </c>
      <c r="K233" s="22">
        <f>IF($H337="","","https://img.youtube.com/vi/"&amp;$H337&amp;"/hqdefault.jpg")</f>
        <v/>
      </c>
      <c r="L233" s="24" t="inlineStr">
        <is>
          <t>확인필요</t>
        </is>
      </c>
      <c r="M233" s="21" t="inlineStr">
        <is>
          <t>N</t>
        </is>
      </c>
      <c r="N233" s="24" t="inlineStr">
        <is>
          <t>높음</t>
        </is>
      </c>
      <c r="O233" s="25" t="inlineStr">
        <is>
          <t>씨앗(검증 전)</t>
        </is>
      </c>
      <c r="P233" s="22" t="inlineStr">
        <is>
          <t>https://www.youtube.com/results?search_query=%EC%B9%B4%EC%9D%B4%20%EC%9D%8C%20%28Mmmh%29</t>
        </is>
      </c>
      <c r="Q233" s="22" t="inlineStr">
        <is>
          <t>https://music.youtube.com/search?q=%EC%B9%B4%EC%9D%B4%20%EC%9D%8C%20%28Mmmh%29</t>
        </is>
      </c>
    </row>
    <row r="234" ht="15" customHeight="1" s="17">
      <c r="A234" s="21" t="inlineStr">
        <is>
          <t>S233</t>
        </is>
      </c>
      <c r="B234" s="22" t="inlineStr">
        <is>
          <t>0415</t>
        </is>
      </c>
      <c r="C234" s="25" t="inlineStr">
        <is>
          <t>백예린</t>
        </is>
      </c>
      <c r="D234" s="23" t="inlineStr">
        <is>
          <t>2019</t>
        </is>
      </c>
      <c r="E234" s="24" t="inlineStr">
        <is>
          <t>설렘두근</t>
        </is>
      </c>
      <c r="F234" s="25" t="inlineStr">
        <is>
          <t>밤바다, 드라이브</t>
        </is>
      </c>
      <c r="G234" s="24" t="inlineStr">
        <is>
          <t>솔로</t>
        </is>
      </c>
      <c r="H234" s="22" t="n"/>
      <c r="I234" s="22">
        <f>IF($H338="","","https://youtu.be/"&amp;$H338)</f>
        <v/>
      </c>
      <c r="J234" s="22">
        <f>IF($H338="","","https://music.youtube.com/watch?v="&amp;$H338)</f>
        <v/>
      </c>
      <c r="K234" s="22">
        <f>IF($H338="","","https://img.youtube.com/vi/"&amp;$H338&amp;"/hqdefault.jpg")</f>
        <v/>
      </c>
      <c r="L234" s="24" t="inlineStr">
        <is>
          <t>확인필요</t>
        </is>
      </c>
      <c r="M234" s="21" t="inlineStr">
        <is>
          <t>N</t>
        </is>
      </c>
      <c r="N234" s="24" t="inlineStr">
        <is>
          <t>높음</t>
        </is>
      </c>
      <c r="O234" s="25" t="inlineStr">
        <is>
          <t>씨앗(검증 전)</t>
        </is>
      </c>
      <c r="P234" s="22" t="inlineStr">
        <is>
          <t>https://www.youtube.com/results?search_query=%EB%B0%B1%EC%98%88%EB%A6%B0%200415</t>
        </is>
      </c>
      <c r="Q234" s="22" t="inlineStr">
        <is>
          <t>https://music.youtube.com/search?q=%EB%B0%B1%EC%98%88%EB%A6%B0%200415</t>
        </is>
      </c>
    </row>
    <row r="235" ht="15" customHeight="1" s="17">
      <c r="A235" s="21" t="inlineStr">
        <is>
          <t>S234</t>
        </is>
      </c>
      <c r="B235" s="22" t="inlineStr">
        <is>
          <t>Gotta Go (벌써 12시)</t>
        </is>
      </c>
      <c r="C235" s="25" t="inlineStr">
        <is>
          <t>청하</t>
        </is>
      </c>
      <c r="D235" s="23" t="inlineStr">
        <is>
          <t>2019</t>
        </is>
      </c>
      <c r="E235" s="24" t="inlineStr">
        <is>
          <t>설렘두근</t>
        </is>
      </c>
      <c r="F235" s="25" t="inlineStr">
        <is>
          <t>밤바다, 드라이브</t>
        </is>
      </c>
      <c r="G235" s="24" t="inlineStr">
        <is>
          <t>솔로</t>
        </is>
      </c>
      <c r="H235" s="22" t="n"/>
      <c r="I235" s="22">
        <f>IF($H339="","","https://youtu.be/"&amp;$H339)</f>
        <v/>
      </c>
      <c r="J235" s="22">
        <f>IF($H339="","","https://music.youtube.com/watch?v="&amp;$H339)</f>
        <v/>
      </c>
      <c r="K235" s="22">
        <f>IF($H339="","","https://img.youtube.com/vi/"&amp;$H339&amp;"/hqdefault.jpg")</f>
        <v/>
      </c>
      <c r="L235" s="24" t="inlineStr">
        <is>
          <t>확인필요</t>
        </is>
      </c>
      <c r="M235" s="21" t="inlineStr">
        <is>
          <t>N</t>
        </is>
      </c>
      <c r="N235" s="24" t="inlineStr">
        <is>
          <t>높음</t>
        </is>
      </c>
      <c r="O235" s="25" t="inlineStr">
        <is>
          <t>씨앗(검증 전)</t>
        </is>
      </c>
      <c r="P235" s="22" t="inlineStr">
        <is>
          <t>https://www.youtube.com/results?search_query=%EC%B2%AD%ED%95%98%20Gotta%20Go%20%28%EB%B2%8C%EC%8D%A8%2012%EC%8B%9C%29</t>
        </is>
      </c>
      <c r="Q235" s="22" t="inlineStr">
        <is>
          <t>https://music.youtube.com/search?q=%EC%B2%AD%ED%95%98%20Gotta%20Go%20%28%EB%B2%8C%EC%8D%A8%2012%EC%8B%9C%29</t>
        </is>
      </c>
    </row>
    <row r="236" ht="15" customHeight="1" s="17">
      <c r="A236" s="21" t="inlineStr">
        <is>
          <t>S235</t>
        </is>
      </c>
      <c r="B236" s="22" t="inlineStr">
        <is>
          <t>Popo</t>
        </is>
      </c>
      <c r="C236" s="25" t="inlineStr">
        <is>
          <t>백예린</t>
        </is>
      </c>
      <c r="D236" s="23" t="inlineStr">
        <is>
          <t>2019</t>
        </is>
      </c>
      <c r="E236" s="24" t="inlineStr">
        <is>
          <t>설렘두근</t>
        </is>
      </c>
      <c r="F236" s="25" t="inlineStr">
        <is>
          <t>밤바다</t>
        </is>
      </c>
      <c r="G236" s="24" t="inlineStr">
        <is>
          <t>솔로</t>
        </is>
      </c>
      <c r="H236" s="22" t="n"/>
      <c r="I236" s="22">
        <f>IF($H340="","","https://youtu.be/"&amp;$H340)</f>
        <v/>
      </c>
      <c r="J236" s="22">
        <f>IF($H340="","","https://music.youtube.com/watch?v="&amp;$H340)</f>
        <v/>
      </c>
      <c r="K236" s="22">
        <f>IF($H340="","","https://img.youtube.com/vi/"&amp;$H340&amp;"/hqdefault.jpg")</f>
        <v/>
      </c>
      <c r="L236" s="24" t="inlineStr">
        <is>
          <t>확인필요</t>
        </is>
      </c>
      <c r="M236" s="21" t="inlineStr">
        <is>
          <t>N</t>
        </is>
      </c>
      <c r="N236" s="24" t="inlineStr">
        <is>
          <t>높음</t>
        </is>
      </c>
      <c r="O236" s="25" t="inlineStr">
        <is>
          <t>씨앗(검증 전)</t>
        </is>
      </c>
      <c r="P236" s="22" t="inlineStr">
        <is>
          <t>https://www.youtube.com/results?search_query=%EB%B0%B1%EC%98%88%EB%A6%B0%20Popo</t>
        </is>
      </c>
      <c r="Q236" s="22" t="inlineStr">
        <is>
          <t>https://music.youtube.com/search?q=%EB%B0%B1%EC%98%88%EB%A6%B0%20Popo</t>
        </is>
      </c>
    </row>
    <row r="237" ht="15" customHeight="1" s="17">
      <c r="A237" s="21" t="inlineStr">
        <is>
          <t>S236</t>
        </is>
      </c>
      <c r="B237" s="22" t="inlineStr">
        <is>
          <t>UN Village</t>
        </is>
      </c>
      <c r="C237" s="25" t="inlineStr">
        <is>
          <t>백현</t>
        </is>
      </c>
      <c r="D237" s="23" t="inlineStr">
        <is>
          <t>2019</t>
        </is>
      </c>
      <c r="E237" s="24" t="inlineStr">
        <is>
          <t>설렘두근</t>
        </is>
      </c>
      <c r="F237" s="25" t="inlineStr">
        <is>
          <t>밤바다, 드라이브</t>
        </is>
      </c>
      <c r="G237" s="24" t="inlineStr">
        <is>
          <t>솔로</t>
        </is>
      </c>
      <c r="H237" s="22" t="n"/>
      <c r="I237" s="22">
        <f>IF($H341="","","https://youtu.be/"&amp;$H341)</f>
        <v/>
      </c>
      <c r="J237" s="22">
        <f>IF($H341="","","https://music.youtube.com/watch?v="&amp;$H341)</f>
        <v/>
      </c>
      <c r="K237" s="22">
        <f>IF($H341="","","https://img.youtube.com/vi/"&amp;$H341&amp;"/hqdefault.jpg")</f>
        <v/>
      </c>
      <c r="L237" s="24" t="inlineStr">
        <is>
          <t>확인필요</t>
        </is>
      </c>
      <c r="M237" s="21" t="inlineStr">
        <is>
          <t>N</t>
        </is>
      </c>
      <c r="N237" s="24" t="inlineStr">
        <is>
          <t>높음</t>
        </is>
      </c>
      <c r="O237" s="25" t="inlineStr">
        <is>
          <t>씨앗(검증 전)</t>
        </is>
      </c>
      <c r="P237" s="22" t="inlineStr">
        <is>
          <t>https://www.youtube.com/results?search_query=%EB%B0%B1%ED%98%84%20UN%20Village</t>
        </is>
      </c>
      <c r="Q237" s="22" t="inlineStr">
        <is>
          <t>https://music.youtube.com/search?q=%EB%B0%B1%ED%98%84%20UN%20Village</t>
        </is>
      </c>
    </row>
    <row r="238" ht="15" customHeight="1" s="17">
      <c r="A238" s="21" t="inlineStr">
        <is>
          <t>S237</t>
        </is>
      </c>
      <c r="B238" s="25" t="inlineStr">
        <is>
          <t>너를 만나</t>
        </is>
      </c>
      <c r="C238" s="25" t="inlineStr">
        <is>
          <t>폴킴</t>
        </is>
      </c>
      <c r="D238" s="23" t="inlineStr">
        <is>
          <t>2018</t>
        </is>
      </c>
      <c r="E238" s="24" t="inlineStr">
        <is>
          <t>설렘두근</t>
        </is>
      </c>
      <c r="F238" s="25" t="inlineStr">
        <is>
          <t>밤바다</t>
        </is>
      </c>
      <c r="G238" s="24" t="inlineStr">
        <is>
          <t>솔로</t>
        </is>
      </c>
      <c r="H238" s="22" t="n"/>
      <c r="I238" s="22">
        <f>IF($H342="","","https://youtu.be/"&amp;$H342)</f>
        <v/>
      </c>
      <c r="J238" s="22">
        <f>IF($H342="","","https://music.youtube.com/watch?v="&amp;$H342)</f>
        <v/>
      </c>
      <c r="K238" s="22">
        <f>IF($H342="","","https://img.youtube.com/vi/"&amp;$H342&amp;"/hqdefault.jpg")</f>
        <v/>
      </c>
      <c r="L238" s="24" t="inlineStr">
        <is>
          <t>확인필요</t>
        </is>
      </c>
      <c r="M238" s="21" t="inlineStr">
        <is>
          <t>N</t>
        </is>
      </c>
      <c r="N238" s="24" t="inlineStr">
        <is>
          <t>높음</t>
        </is>
      </c>
      <c r="O238" s="25" t="inlineStr">
        <is>
          <t>씨앗(검증 전)</t>
        </is>
      </c>
      <c r="P238" s="22" t="inlineStr">
        <is>
          <t>https://www.youtube.com/results?search_query=%ED%8F%B4%ED%82%B4%20%EB%84%88%EB%A5%BC%20%EB%A7%8C%EB%82%98</t>
        </is>
      </c>
      <c r="Q238" s="22" t="inlineStr">
        <is>
          <t>https://music.youtube.com/search?q=%ED%8F%B4%ED%82%B4%20%EB%84%88%EB%A5%BC%20%EB%A7%8C%EB%82%98</t>
        </is>
      </c>
    </row>
    <row r="239" ht="15" customHeight="1" s="17">
      <c r="A239" s="21" t="inlineStr">
        <is>
          <t>S238</t>
        </is>
      </c>
      <c r="B239" s="22" t="inlineStr">
        <is>
          <t>INVU</t>
        </is>
      </c>
      <c r="C239" s="25" t="inlineStr">
        <is>
          <t>태연</t>
        </is>
      </c>
      <c r="D239" s="23" t="inlineStr">
        <is>
          <t>2022</t>
        </is>
      </c>
      <c r="E239" s="24" t="inlineStr">
        <is>
          <t>센치감성</t>
        </is>
      </c>
      <c r="F239" s="25" t="inlineStr">
        <is>
          <t>비오는날, 밤바다</t>
        </is>
      </c>
      <c r="G239" s="24" t="inlineStr">
        <is>
          <t>솔로</t>
        </is>
      </c>
      <c r="H239" s="22" t="n"/>
      <c r="I239" s="22">
        <f>IF($H350="","","https://youtu.be/"&amp;$H350)</f>
        <v/>
      </c>
      <c r="J239" s="22">
        <f>IF($H350="","","https://music.youtube.com/watch?v="&amp;$H350)</f>
        <v/>
      </c>
      <c r="K239" s="22">
        <f>IF($H350="","","https://img.youtube.com/vi/"&amp;$H350&amp;"/hqdefault.jpg")</f>
        <v/>
      </c>
      <c r="L239" s="24" t="inlineStr">
        <is>
          <t>확인필요</t>
        </is>
      </c>
      <c r="M239" s="21" t="inlineStr">
        <is>
          <t>N</t>
        </is>
      </c>
      <c r="N239" s="24" t="inlineStr">
        <is>
          <t>높음</t>
        </is>
      </c>
      <c r="O239" s="25" t="inlineStr">
        <is>
          <t>씨앗(검증 전)</t>
        </is>
      </c>
      <c r="P239" s="22" t="inlineStr">
        <is>
          <t>https://www.youtube.com/results?search_query=%ED%83%9C%EC%97%B0%20INVU</t>
        </is>
      </c>
      <c r="Q239" s="22" t="inlineStr">
        <is>
          <t>https://music.youtube.com/search?q=%ED%83%9C%EC%97%B0%20INVU</t>
        </is>
      </c>
    </row>
    <row r="240" ht="15" customHeight="1" s="17">
      <c r="A240" s="21" t="inlineStr">
        <is>
          <t>S239</t>
        </is>
      </c>
      <c r="B240" s="25" t="inlineStr">
        <is>
          <t>에피소드</t>
        </is>
      </c>
      <c r="C240" s="25" t="inlineStr">
        <is>
          <t>이무진</t>
        </is>
      </c>
      <c r="D240" s="23" t="inlineStr">
        <is>
          <t>2022</t>
        </is>
      </c>
      <c r="E240" s="24" t="inlineStr">
        <is>
          <t>센치감성</t>
        </is>
      </c>
      <c r="F240" s="25" t="inlineStr">
        <is>
          <t>밤바다</t>
        </is>
      </c>
      <c r="G240" s="24" t="inlineStr">
        <is>
          <t>솔로</t>
        </is>
      </c>
      <c r="H240" s="22" t="n"/>
      <c r="I240" s="22">
        <f>IF($H351="","","https://youtu.be/"&amp;$H351)</f>
        <v/>
      </c>
      <c r="J240" s="22">
        <f>IF($H351="","","https://music.youtube.com/watch?v="&amp;$H351)</f>
        <v/>
      </c>
      <c r="K240" s="22">
        <f>IF($H351="","","https://img.youtube.com/vi/"&amp;$H351&amp;"/hqdefault.jpg")</f>
        <v/>
      </c>
      <c r="L240" s="24" t="inlineStr">
        <is>
          <t>확인필요</t>
        </is>
      </c>
      <c r="M240" s="21" t="inlineStr">
        <is>
          <t>N</t>
        </is>
      </c>
      <c r="N240" s="24" t="inlineStr">
        <is>
          <t>높음</t>
        </is>
      </c>
      <c r="O240" s="25" t="inlineStr">
        <is>
          <t>씨앗(검증 전)</t>
        </is>
      </c>
      <c r="P240" s="22" t="inlineStr">
        <is>
          <t>https://www.youtube.com/results?search_query=%EC%9D%B4%EB%AC%B4%EC%A7%84%20%EC%97%90%ED%94%BC%EC%86%8C%EB%93%9C</t>
        </is>
      </c>
      <c r="Q240" s="22" t="inlineStr">
        <is>
          <t>https://music.youtube.com/search?q=%EC%9D%B4%EB%AC%B4%EC%A7%84%20%EC%97%90%ED%94%BC%EC%86%8C%EB%93%9C</t>
        </is>
      </c>
    </row>
    <row r="241" ht="15" customHeight="1" s="17">
      <c r="A241" s="21" t="inlineStr">
        <is>
          <t>S240</t>
        </is>
      </c>
      <c r="B241" s="22" t="inlineStr">
        <is>
          <t>Bambi</t>
        </is>
      </c>
      <c r="C241" s="25" t="inlineStr">
        <is>
          <t>백현</t>
        </is>
      </c>
      <c r="D241" s="23" t="inlineStr">
        <is>
          <t>2021</t>
        </is>
      </c>
      <c r="E241" s="24" t="inlineStr">
        <is>
          <t>센치감성</t>
        </is>
      </c>
      <c r="F241" s="25" t="inlineStr">
        <is>
          <t>밤바다</t>
        </is>
      </c>
      <c r="G241" s="24" t="inlineStr">
        <is>
          <t>솔로</t>
        </is>
      </c>
      <c r="H241" s="22" t="n"/>
      <c r="I241" s="22">
        <f>IF($H352="","","https://youtu.be/"&amp;$H352)</f>
        <v/>
      </c>
      <c r="J241" s="22">
        <f>IF($H352="","","https://music.youtube.com/watch?v="&amp;$H352)</f>
        <v/>
      </c>
      <c r="K241" s="22">
        <f>IF($H352="","","https://img.youtube.com/vi/"&amp;$H352&amp;"/hqdefault.jpg")</f>
        <v/>
      </c>
      <c r="L241" s="24" t="inlineStr">
        <is>
          <t>확인필요</t>
        </is>
      </c>
      <c r="M241" s="21" t="inlineStr">
        <is>
          <t>N</t>
        </is>
      </c>
      <c r="N241" s="24" t="inlineStr">
        <is>
          <t>높음</t>
        </is>
      </c>
      <c r="O241" s="25" t="inlineStr">
        <is>
          <t>씨앗(검증 전)</t>
        </is>
      </c>
      <c r="P241" s="22" t="inlineStr">
        <is>
          <t>https://www.youtube.com/results?search_query=%EB%B0%B1%ED%98%84%20Bambi</t>
        </is>
      </c>
      <c r="Q241" s="22" t="inlineStr">
        <is>
          <t>https://music.youtube.com/search?q=%EB%B0%B1%ED%98%84%20Bambi</t>
        </is>
      </c>
    </row>
    <row r="242" ht="15" customHeight="1" s="17">
      <c r="A242" s="21" t="inlineStr">
        <is>
          <t>S241</t>
        </is>
      </c>
      <c r="B242" s="22" t="inlineStr">
        <is>
          <t>Like Water</t>
        </is>
      </c>
      <c r="C242" s="25" t="inlineStr">
        <is>
          <t>웬디</t>
        </is>
      </c>
      <c r="D242" s="23" t="inlineStr">
        <is>
          <t>2021</t>
        </is>
      </c>
      <c r="E242" s="24" t="inlineStr">
        <is>
          <t>센치감성</t>
        </is>
      </c>
      <c r="F242" s="25" t="inlineStr">
        <is>
          <t>밤바다</t>
        </is>
      </c>
      <c r="G242" s="24" t="inlineStr">
        <is>
          <t>솔로</t>
        </is>
      </c>
      <c r="H242" s="22" t="n"/>
      <c r="I242" s="22">
        <f>IF($H353="","","https://youtu.be/"&amp;$H353)</f>
        <v/>
      </c>
      <c r="J242" s="22">
        <f>IF($H353="","","https://music.youtube.com/watch?v="&amp;$H353)</f>
        <v/>
      </c>
      <c r="K242" s="22">
        <f>IF($H353="","","https://img.youtube.com/vi/"&amp;$H353&amp;"/hqdefault.jpg")</f>
        <v/>
      </c>
      <c r="L242" s="24" t="inlineStr">
        <is>
          <t>확인필요</t>
        </is>
      </c>
      <c r="M242" s="21" t="inlineStr">
        <is>
          <t>N</t>
        </is>
      </c>
      <c r="N242" s="24" t="inlineStr">
        <is>
          <t>높음</t>
        </is>
      </c>
      <c r="O242" s="25" t="inlineStr">
        <is>
          <t>씨앗(검증 전)</t>
        </is>
      </c>
      <c r="P242" s="22" t="inlineStr">
        <is>
          <t>https://www.youtube.com/results?search_query=%EC%9B%AC%EB%94%94%20Like%20Water</t>
        </is>
      </c>
      <c r="Q242" s="22" t="inlineStr">
        <is>
          <t>https://music.youtube.com/search?q=%EC%9B%AC%EB%94%94%20Like%20Water</t>
        </is>
      </c>
    </row>
    <row r="243" ht="15" customHeight="1" s="17">
      <c r="A243" s="21" t="inlineStr">
        <is>
          <t>S242</t>
        </is>
      </c>
      <c r="B243" s="25" t="inlineStr">
        <is>
          <t>신호등</t>
        </is>
      </c>
      <c r="C243" s="25" t="inlineStr">
        <is>
          <t>이무진</t>
        </is>
      </c>
      <c r="D243" s="23" t="inlineStr">
        <is>
          <t>2021</t>
        </is>
      </c>
      <c r="E243" s="24" t="inlineStr">
        <is>
          <t>센치감성</t>
        </is>
      </c>
      <c r="F243" s="25" t="inlineStr">
        <is>
          <t>밤바다</t>
        </is>
      </c>
      <c r="G243" s="24" t="inlineStr">
        <is>
          <t>솔로</t>
        </is>
      </c>
      <c r="H243" s="22" t="n"/>
      <c r="I243" s="22">
        <f>IF($H354="","","https://youtu.be/"&amp;$H354)</f>
        <v/>
      </c>
      <c r="J243" s="22">
        <f>IF($H354="","","https://music.youtube.com/watch?v="&amp;$H354)</f>
        <v/>
      </c>
      <c r="K243" s="22">
        <f>IF($H354="","","https://img.youtube.com/vi/"&amp;$H354&amp;"/hqdefault.jpg")</f>
        <v/>
      </c>
      <c r="L243" s="24" t="inlineStr">
        <is>
          <t>확인필요</t>
        </is>
      </c>
      <c r="M243" s="21" t="inlineStr">
        <is>
          <t>N</t>
        </is>
      </c>
      <c r="N243" s="24" t="inlineStr">
        <is>
          <t>높음</t>
        </is>
      </c>
      <c r="O243" s="25" t="inlineStr">
        <is>
          <t>씨앗(검증 전)</t>
        </is>
      </c>
      <c r="P243" s="22" t="inlineStr">
        <is>
          <t>https://www.youtube.com/results?search_query=%EC%9D%B4%EB%AC%B4%EC%A7%84%20%EC%8B%A0%ED%98%B8%EB%93%B1</t>
        </is>
      </c>
      <c r="Q243" s="22" t="inlineStr">
        <is>
          <t>https://music.youtube.com/search?q=%EC%9D%B4%EB%AC%B4%EC%A7%84%20%EC%8B%A0%ED%98%B8%EB%93%B1</t>
        </is>
      </c>
    </row>
    <row r="244" ht="15" customHeight="1" s="17">
      <c r="A244" s="21" t="inlineStr">
        <is>
          <t>S243</t>
        </is>
      </c>
      <c r="B244" s="22" t="inlineStr">
        <is>
          <t>Criminal</t>
        </is>
      </c>
      <c r="C244" s="25" t="inlineStr">
        <is>
          <t>태민</t>
        </is>
      </c>
      <c r="D244" s="23" t="inlineStr">
        <is>
          <t>2020</t>
        </is>
      </c>
      <c r="E244" s="24" t="inlineStr">
        <is>
          <t>센치감성</t>
        </is>
      </c>
      <c r="F244" s="25" t="inlineStr">
        <is>
          <t>밤바다</t>
        </is>
      </c>
      <c r="G244" s="24" t="inlineStr">
        <is>
          <t>솔로</t>
        </is>
      </c>
      <c r="H244" s="22" t="n"/>
      <c r="I244" s="22">
        <f>IF($H355="","","https://youtu.be/"&amp;$H355)</f>
        <v/>
      </c>
      <c r="J244" s="22">
        <f>IF($H355="","","https://music.youtube.com/watch?v="&amp;$H355)</f>
        <v/>
      </c>
      <c r="K244" s="22">
        <f>IF($H355="","","https://img.youtube.com/vi/"&amp;$H355&amp;"/hqdefault.jpg")</f>
        <v/>
      </c>
      <c r="L244" s="24" t="inlineStr">
        <is>
          <t>확인필요</t>
        </is>
      </c>
      <c r="M244" s="21" t="inlineStr">
        <is>
          <t>N</t>
        </is>
      </c>
      <c r="N244" s="24" t="inlineStr">
        <is>
          <t>높음</t>
        </is>
      </c>
      <c r="O244" s="25" t="inlineStr">
        <is>
          <t>씨앗(검증 전)</t>
        </is>
      </c>
      <c r="P244" s="22" t="inlineStr">
        <is>
          <t>https://www.youtube.com/results?search_query=%ED%83%9C%EB%AF%BC%20Criminal</t>
        </is>
      </c>
      <c r="Q244" s="22" t="inlineStr">
        <is>
          <t>https://music.youtube.com/search?q=%ED%83%9C%EB%AF%BC%20Criminal</t>
        </is>
      </c>
    </row>
    <row r="245" ht="15" customHeight="1" s="17">
      <c r="A245" s="21" t="inlineStr">
        <is>
          <t>S244</t>
        </is>
      </c>
      <c r="B245" s="22" t="inlineStr">
        <is>
          <t>NEON (네온)</t>
        </is>
      </c>
      <c r="C245" s="25" t="inlineStr">
        <is>
          <t>유키카</t>
        </is>
      </c>
      <c r="D245" s="23" t="inlineStr">
        <is>
          <t>2020</t>
        </is>
      </c>
      <c r="E245" s="24" t="inlineStr">
        <is>
          <t>센치감성</t>
        </is>
      </c>
      <c r="F245" s="25" t="inlineStr">
        <is>
          <t>밤바다</t>
        </is>
      </c>
      <c r="G245" s="24" t="inlineStr">
        <is>
          <t>솔로</t>
        </is>
      </c>
      <c r="H245" s="22" t="n"/>
      <c r="I245" s="22">
        <f>IF($H356="","","https://youtu.be/"&amp;$H356)</f>
        <v/>
      </c>
      <c r="J245" s="22">
        <f>IF($H356="","","https://music.youtube.com/watch?v="&amp;$H356)</f>
        <v/>
      </c>
      <c r="K245" s="22">
        <f>IF($H356="","","https://img.youtube.com/vi/"&amp;$H356&amp;"/hqdefault.jpg")</f>
        <v/>
      </c>
      <c r="L245" s="24" t="inlineStr">
        <is>
          <t>확인필요</t>
        </is>
      </c>
      <c r="M245" s="21" t="inlineStr">
        <is>
          <t>N</t>
        </is>
      </c>
      <c r="N245" s="24" t="inlineStr">
        <is>
          <t>높음</t>
        </is>
      </c>
      <c r="O245" s="25" t="inlineStr">
        <is>
          <t>씨앗(검증 전)</t>
        </is>
      </c>
      <c r="P245" s="22" t="inlineStr">
        <is>
          <t>https://www.youtube.com/results?search_query=%EC%9C%A0%ED%82%A4%EC%B9%B4%20NEON%20%28%EB%84%A4%EC%98%A8%29</t>
        </is>
      </c>
      <c r="Q245" s="22" t="inlineStr">
        <is>
          <t>https://music.youtube.com/search?q=%EC%9C%A0%ED%82%A4%EC%B9%B4%20NEON%20%28%EB%84%A4%EC%98%A8%29</t>
        </is>
      </c>
    </row>
    <row r="246" ht="15" customHeight="1" s="17">
      <c r="A246" s="21" t="inlineStr">
        <is>
          <t>S245</t>
        </is>
      </c>
      <c r="B246" s="25" t="inlineStr">
        <is>
          <t>나무</t>
        </is>
      </c>
      <c r="C246" s="25" t="inlineStr">
        <is>
          <t>카더가든</t>
        </is>
      </c>
      <c r="D246" s="23" t="inlineStr">
        <is>
          <t>2020</t>
        </is>
      </c>
      <c r="E246" s="24" t="inlineStr">
        <is>
          <t>센치감성</t>
        </is>
      </c>
      <c r="F246" s="25" t="inlineStr">
        <is>
          <t>밤바다</t>
        </is>
      </c>
      <c r="G246" s="24" t="inlineStr">
        <is>
          <t>솔로</t>
        </is>
      </c>
      <c r="H246" s="22" t="n"/>
      <c r="I246" s="22">
        <f>IF($H357="","","https://youtu.be/"&amp;$H357)</f>
        <v/>
      </c>
      <c r="J246" s="22">
        <f>IF($H357="","","https://music.youtube.com/watch?v="&amp;$H357)</f>
        <v/>
      </c>
      <c r="K246" s="22">
        <f>IF($H357="","","https://img.youtube.com/vi/"&amp;$H357&amp;"/hqdefault.jpg")</f>
        <v/>
      </c>
      <c r="L246" s="24" t="inlineStr">
        <is>
          <t>확인필요</t>
        </is>
      </c>
      <c r="M246" s="21" t="inlineStr">
        <is>
          <t>N</t>
        </is>
      </c>
      <c r="N246" s="24" t="inlineStr">
        <is>
          <t>높음</t>
        </is>
      </c>
      <c r="O246" s="25" t="inlineStr">
        <is>
          <t>씨앗(검증 전)</t>
        </is>
      </c>
      <c r="P246" s="22" t="inlineStr">
        <is>
          <t>https://www.youtube.com/results?search_query=%EC%B9%B4%EB%8D%94%EA%B0%80%EB%93%A0%20%EB%82%98%EB%AC%B4</t>
        </is>
      </c>
      <c r="Q246" s="22" t="inlineStr">
        <is>
          <t>https://music.youtube.com/search?q=%EC%B9%B4%EB%8D%94%EA%B0%80%EB%93%A0%20%EB%82%98%EB%AC%B4</t>
        </is>
      </c>
    </row>
    <row r="247" ht="15" customHeight="1" s="17">
      <c r="A247" s="21" t="inlineStr">
        <is>
          <t>S246</t>
        </is>
      </c>
      <c r="B247" s="25" t="inlineStr">
        <is>
          <t>너의 밤은 어때</t>
        </is>
      </c>
      <c r="C247" s="25" t="inlineStr">
        <is>
          <t>로이킴</t>
        </is>
      </c>
      <c r="D247" s="23" t="inlineStr">
        <is>
          <t>2020</t>
        </is>
      </c>
      <c r="E247" s="24" t="inlineStr">
        <is>
          <t>센치감성</t>
        </is>
      </c>
      <c r="F247" s="25" t="inlineStr">
        <is>
          <t>밤바다</t>
        </is>
      </c>
      <c r="G247" s="24" t="inlineStr">
        <is>
          <t>솔로</t>
        </is>
      </c>
      <c r="H247" s="22" t="n"/>
      <c r="I247" s="22">
        <f>IF($H358="","","https://youtu.be/"&amp;$H358)</f>
        <v/>
      </c>
      <c r="J247" s="22">
        <f>IF($H358="","","https://music.youtube.com/watch?v="&amp;$H358)</f>
        <v/>
      </c>
      <c r="K247" s="22">
        <f>IF($H358="","","https://img.youtube.com/vi/"&amp;$H358&amp;"/hqdefault.jpg")</f>
        <v/>
      </c>
      <c r="L247" s="24" t="inlineStr">
        <is>
          <t>확인필요</t>
        </is>
      </c>
      <c r="M247" s="21" t="inlineStr">
        <is>
          <t>N</t>
        </is>
      </c>
      <c r="N247" s="24" t="inlineStr">
        <is>
          <t>높음</t>
        </is>
      </c>
      <c r="O247" s="25" t="inlineStr">
        <is>
          <t>씨앗(검증 전)</t>
        </is>
      </c>
      <c r="P247" s="22" t="inlineStr">
        <is>
          <t>https://www.youtube.com/results?search_query=%EB%A1%9C%EC%9D%B4%ED%82%B4%20%EB%84%88%EC%9D%98%20%EB%B0%A4%EC%9D%80%20%EC%96%B4%EB%95%8C</t>
        </is>
      </c>
      <c r="Q247" s="22" t="inlineStr">
        <is>
          <t>https://music.youtube.com/search?q=%EB%A1%9C%EC%9D%B4%ED%82%B4%20%EB%84%88%EC%9D%98%20%EB%B0%A4%EC%9D%80%20%EC%96%B4%EB%95%8C</t>
        </is>
      </c>
    </row>
    <row r="248" ht="15" customHeight="1" s="17">
      <c r="A248" s="21" t="inlineStr">
        <is>
          <t>S247</t>
        </is>
      </c>
      <c r="B248" s="25" t="inlineStr">
        <is>
          <t>보라빛 밤 (pporappippam)</t>
        </is>
      </c>
      <c r="C248" s="25" t="inlineStr">
        <is>
          <t>선미</t>
        </is>
      </c>
      <c r="D248" s="23" t="inlineStr">
        <is>
          <t>2020</t>
        </is>
      </c>
      <c r="E248" s="24" t="inlineStr">
        <is>
          <t>센치감성</t>
        </is>
      </c>
      <c r="F248" s="25" t="inlineStr">
        <is>
          <t>밤바다</t>
        </is>
      </c>
      <c r="G248" s="24" t="inlineStr">
        <is>
          <t>솔로</t>
        </is>
      </c>
      <c r="H248" s="22" t="n"/>
      <c r="I248" s="22">
        <f>IF($H359="","","https://youtu.be/"&amp;$H359)</f>
        <v/>
      </c>
      <c r="J248" s="22">
        <f>IF($H359="","","https://music.youtube.com/watch?v="&amp;$H359)</f>
        <v/>
      </c>
      <c r="K248" s="22">
        <f>IF($H359="","","https://img.youtube.com/vi/"&amp;$H359&amp;"/hqdefault.jpg")</f>
        <v/>
      </c>
      <c r="L248" s="24" t="inlineStr">
        <is>
          <t>확인필요</t>
        </is>
      </c>
      <c r="M248" s="21" t="inlineStr">
        <is>
          <t>N</t>
        </is>
      </c>
      <c r="N248" s="24" t="inlineStr">
        <is>
          <t>높음</t>
        </is>
      </c>
      <c r="O248" s="25" t="inlineStr">
        <is>
          <t>씨앗(검증 전)</t>
        </is>
      </c>
      <c r="P248" s="22" t="inlineStr">
        <is>
          <t>https://www.youtube.com/results?search_query=%EC%84%A0%EB%AF%B8%20%EB%B3%B4%EB%9D%BC%EB%B9%9B%20%EB%B0%A4%20%28pporappippam%29</t>
        </is>
      </c>
      <c r="Q248" s="22" t="inlineStr">
        <is>
          <t>https://music.youtube.com/search?q=%EC%84%A0%EB%AF%B8%20%EB%B3%B4%EB%9D%BC%EB%B9%9B%20%EB%B0%A4%20%28pporappippam%29</t>
        </is>
      </c>
    </row>
    <row r="249" ht="15" customHeight="1" s="17">
      <c r="A249" s="21" t="inlineStr">
        <is>
          <t>S248</t>
        </is>
      </c>
      <c r="B249" s="22" t="inlineStr">
        <is>
          <t>Home</t>
        </is>
      </c>
      <c r="C249" s="25" t="inlineStr">
        <is>
          <t>카더가든</t>
        </is>
      </c>
      <c r="D249" s="23" t="inlineStr">
        <is>
          <t>2019</t>
        </is>
      </c>
      <c r="E249" s="24" t="inlineStr">
        <is>
          <t>센치감성</t>
        </is>
      </c>
      <c r="F249" s="25" t="inlineStr">
        <is>
          <t>밤바다</t>
        </is>
      </c>
      <c r="G249" s="24" t="inlineStr">
        <is>
          <t>솔로</t>
        </is>
      </c>
      <c r="H249" s="22" t="n"/>
      <c r="I249" s="22">
        <f>IF($H360="","","https://youtu.be/"&amp;$H360)</f>
        <v/>
      </c>
      <c r="J249" s="22">
        <f>IF($H360="","","https://music.youtube.com/watch?v="&amp;$H360)</f>
        <v/>
      </c>
      <c r="K249" s="22">
        <f>IF($H360="","","https://img.youtube.com/vi/"&amp;$H360&amp;"/hqdefault.jpg")</f>
        <v/>
      </c>
      <c r="L249" s="24" t="inlineStr">
        <is>
          <t>확인필요</t>
        </is>
      </c>
      <c r="M249" s="21" t="inlineStr">
        <is>
          <t>N</t>
        </is>
      </c>
      <c r="N249" s="24" t="inlineStr">
        <is>
          <t>높음</t>
        </is>
      </c>
      <c r="O249" s="25" t="inlineStr">
        <is>
          <t>씨앗(검증 전)</t>
        </is>
      </c>
      <c r="P249" s="22" t="inlineStr">
        <is>
          <t>https://www.youtube.com/results?search_query=%EC%B9%B4%EB%8D%94%EA%B0%80%EB%93%A0%20Home</t>
        </is>
      </c>
      <c r="Q249" s="22" t="inlineStr">
        <is>
          <t>https://music.youtube.com/search?q=%EC%B9%B4%EB%8D%94%EA%B0%80%EB%93%A0%20Home</t>
        </is>
      </c>
    </row>
    <row r="250" ht="15" customHeight="1" s="17">
      <c r="A250" s="21" t="inlineStr">
        <is>
          <t>S249</t>
        </is>
      </c>
      <c r="B250" s="22" t="inlineStr">
        <is>
          <t>Square</t>
        </is>
      </c>
      <c r="C250" s="25" t="inlineStr">
        <is>
          <t>백예린</t>
        </is>
      </c>
      <c r="D250" s="23" t="inlineStr">
        <is>
          <t>2019</t>
        </is>
      </c>
      <c r="E250" s="24" t="inlineStr">
        <is>
          <t>센치감성</t>
        </is>
      </c>
      <c r="F250" s="25" t="inlineStr">
        <is>
          <t>밤바다</t>
        </is>
      </c>
      <c r="G250" s="24" t="inlineStr">
        <is>
          <t>솔로</t>
        </is>
      </c>
      <c r="H250" s="22" t="n"/>
      <c r="I250" s="22">
        <f>IF($H361="","","https://youtu.be/"&amp;$H361)</f>
        <v/>
      </c>
      <c r="J250" s="22">
        <f>IF($H361="","","https://music.youtube.com/watch?v="&amp;$H361)</f>
        <v/>
      </c>
      <c r="K250" s="22">
        <f>IF($H361="","","https://img.youtube.com/vi/"&amp;$H361&amp;"/hqdefault.jpg")</f>
        <v/>
      </c>
      <c r="L250" s="24" t="inlineStr">
        <is>
          <t>확인필요</t>
        </is>
      </c>
      <c r="M250" s="21" t="inlineStr">
        <is>
          <t>N</t>
        </is>
      </c>
      <c r="N250" s="24" t="inlineStr">
        <is>
          <t>높음</t>
        </is>
      </c>
      <c r="O250" s="25" t="inlineStr">
        <is>
          <t>씨앗(검증 전)</t>
        </is>
      </c>
      <c r="P250" s="22" t="inlineStr">
        <is>
          <t>https://www.youtube.com/results?search_query=%EB%B0%B1%EC%98%88%EB%A6%B0%20Square</t>
        </is>
      </c>
      <c r="Q250" s="22" t="inlineStr">
        <is>
          <t>https://music.youtube.com/search?q=%EB%B0%B1%EC%98%88%EB%A6%B0%20Square</t>
        </is>
      </c>
    </row>
    <row r="251" ht="15" customHeight="1" s="17">
      <c r="A251" s="21" t="inlineStr">
        <is>
          <t>S250</t>
        </is>
      </c>
      <c r="B251" s="22" t="inlineStr">
        <is>
          <t>We don't talk together</t>
        </is>
      </c>
      <c r="C251" s="25" t="inlineStr">
        <is>
          <t>헤이즈</t>
        </is>
      </c>
      <c r="D251" s="23" t="inlineStr">
        <is>
          <t>2019</t>
        </is>
      </c>
      <c r="E251" s="24" t="inlineStr">
        <is>
          <t>센치감성</t>
        </is>
      </c>
      <c r="F251" s="25" t="inlineStr">
        <is>
          <t>밤바다</t>
        </is>
      </c>
      <c r="G251" s="24" t="inlineStr">
        <is>
          <t>솔로</t>
        </is>
      </c>
      <c r="H251" s="22" t="n"/>
      <c r="I251" s="22">
        <f>IF($H362="","","https://youtu.be/"&amp;$H362)</f>
        <v/>
      </c>
      <c r="J251" s="22">
        <f>IF($H362="","","https://music.youtube.com/watch?v="&amp;$H362)</f>
        <v/>
      </c>
      <c r="K251" s="22">
        <f>IF($H362="","","https://img.youtube.com/vi/"&amp;$H362&amp;"/hqdefault.jpg")</f>
        <v/>
      </c>
      <c r="L251" s="24" t="inlineStr">
        <is>
          <t>확인필요</t>
        </is>
      </c>
      <c r="M251" s="21" t="inlineStr">
        <is>
          <t>N</t>
        </is>
      </c>
      <c r="N251" s="24" t="inlineStr">
        <is>
          <t>높음</t>
        </is>
      </c>
      <c r="O251" s="25" t="inlineStr">
        <is>
          <t>씨앗(검증 전)</t>
        </is>
      </c>
      <c r="P251" s="22" t="inlineStr">
        <is>
          <t>https://www.youtube.com/results?search_query=%ED%97%A4%EC%9D%B4%EC%A6%88%20We%20don%27t%20talk%20together</t>
        </is>
      </c>
      <c r="Q251" s="22" t="inlineStr">
        <is>
          <t>https://music.youtube.com/search?q=%ED%97%A4%EC%9D%B4%EC%A6%88%20We%20don%27t%20talk%20together</t>
        </is>
      </c>
    </row>
    <row r="252" ht="15" customHeight="1" s="17">
      <c r="A252" s="21" t="inlineStr">
        <is>
          <t>S251</t>
        </is>
      </c>
      <c r="B252" s="25" t="inlineStr">
        <is>
          <t>그건 아마 우리의 잘못은 아닐 거야</t>
        </is>
      </c>
      <c r="C252" s="25" t="inlineStr">
        <is>
          <t>백예린</t>
        </is>
      </c>
      <c r="D252" s="23" t="inlineStr">
        <is>
          <t>2019</t>
        </is>
      </c>
      <c r="E252" s="24" t="inlineStr">
        <is>
          <t>센치감성</t>
        </is>
      </c>
      <c r="F252" s="25" t="inlineStr">
        <is>
          <t>밤바다</t>
        </is>
      </c>
      <c r="G252" s="24" t="inlineStr">
        <is>
          <t>솔로</t>
        </is>
      </c>
      <c r="H252" s="22" t="n"/>
      <c r="I252" s="22">
        <f>IF($H363="","","https://youtu.be/"&amp;$H363)</f>
        <v/>
      </c>
      <c r="J252" s="22">
        <f>IF($H363="","","https://music.youtube.com/watch?v="&amp;$H363)</f>
        <v/>
      </c>
      <c r="K252" s="22">
        <f>IF($H363="","","https://img.youtube.com/vi/"&amp;$H363&amp;"/hqdefault.jpg")</f>
        <v/>
      </c>
      <c r="L252" s="24" t="inlineStr">
        <is>
          <t>확인필요</t>
        </is>
      </c>
      <c r="M252" s="21" t="inlineStr">
        <is>
          <t>N</t>
        </is>
      </c>
      <c r="N252" s="24" t="inlineStr">
        <is>
          <t>높음</t>
        </is>
      </c>
      <c r="O252" s="25" t="inlineStr">
        <is>
          <t>씨앗(검증 전)</t>
        </is>
      </c>
      <c r="P252" s="22" t="inlineStr">
        <is>
          <t>https://www.youtube.com/results?search_query=%EB%B0%B1%EC%98%88%EB%A6%B0%20%EA%B7%B8%EA%B1%B4%20%EC%95%84%EB%A7%88%20%EC%9A%B0%EB%A6%AC%EC%9D%98%20%EC%9E%98%EB%AA%BB%EC%9D%80%20%EC%95%84%EB%8B%90%20%EA%B1%B0%EC%95%BC</t>
        </is>
      </c>
      <c r="Q252" s="22" t="inlineStr">
        <is>
          <t>https://music.youtube.com/search?q=%EB%B0%B1%EC%98%88%EB%A6%B0%20%EA%B7%B8%EA%B1%B4%20%EC%95%84%EB%A7%88%20%EC%9A%B0%EB%A6%AC%EC%9D%98%20%EC%9E%98%EB%AA%BB%EC%9D%80%20%EC%95%84%EB%8B%90%20%EA%B1%B0%EC%95%BC</t>
        </is>
      </c>
    </row>
    <row r="253" ht="15" customHeight="1" s="17">
      <c r="A253" s="21" t="inlineStr">
        <is>
          <t>S252</t>
        </is>
      </c>
      <c r="B253" s="25" t="inlineStr">
        <is>
          <t>누구 없소</t>
        </is>
      </c>
      <c r="C253" s="25" t="inlineStr">
        <is>
          <t>이하이</t>
        </is>
      </c>
      <c r="D253" s="23" t="inlineStr">
        <is>
          <t>2019</t>
        </is>
      </c>
      <c r="E253" s="24" t="inlineStr">
        <is>
          <t>센치감성</t>
        </is>
      </c>
      <c r="F253" s="25" t="inlineStr">
        <is>
          <t>밤바다</t>
        </is>
      </c>
      <c r="G253" s="24" t="inlineStr">
        <is>
          <t>솔로</t>
        </is>
      </c>
      <c r="H253" s="22" t="n"/>
      <c r="I253" s="22">
        <f>IF($H364="","","https://youtu.be/"&amp;$H364)</f>
        <v/>
      </c>
      <c r="J253" s="22">
        <f>IF($H364="","","https://music.youtube.com/watch?v="&amp;$H364)</f>
        <v/>
      </c>
      <c r="K253" s="22">
        <f>IF($H364="","","https://img.youtube.com/vi/"&amp;$H364&amp;"/hqdefault.jpg")</f>
        <v/>
      </c>
      <c r="L253" s="24" t="inlineStr">
        <is>
          <t>확인필요</t>
        </is>
      </c>
      <c r="M253" s="21" t="inlineStr">
        <is>
          <t>N</t>
        </is>
      </c>
      <c r="N253" s="24" t="inlineStr">
        <is>
          <t>높음</t>
        </is>
      </c>
      <c r="O253" s="25" t="inlineStr">
        <is>
          <t>씨앗(검증 전)</t>
        </is>
      </c>
      <c r="P253" s="22" t="inlineStr">
        <is>
          <t>https://www.youtube.com/results?search_query=%EC%9D%B4%ED%95%98%EC%9D%B4%20%EB%88%84%EA%B5%AC%20%EC%97%86%EC%86%8C</t>
        </is>
      </c>
      <c r="Q253" s="22" t="inlineStr">
        <is>
          <t>https://music.youtube.com/search?q=%EC%9D%B4%ED%95%98%EC%9D%B4%20%EB%88%84%EA%B5%AC%20%EC%97%86%EC%86%8C</t>
        </is>
      </c>
    </row>
    <row r="254" ht="15" customHeight="1" s="17">
      <c r="A254" s="21" t="inlineStr">
        <is>
          <t>S253</t>
        </is>
      </c>
      <c r="B254" s="25" t="inlineStr">
        <is>
          <t>마음 (Heart)</t>
        </is>
      </c>
      <c r="C254" s="25" t="inlineStr">
        <is>
          <t>화사</t>
        </is>
      </c>
      <c r="D254" s="23" t="inlineStr">
        <is>
          <t>2019</t>
        </is>
      </c>
      <c r="E254" s="24" t="inlineStr">
        <is>
          <t>센치감성</t>
        </is>
      </c>
      <c r="F254" s="25" t="inlineStr">
        <is>
          <t>비오는날, 밤바다</t>
        </is>
      </c>
      <c r="G254" s="24" t="inlineStr">
        <is>
          <t>솔로</t>
        </is>
      </c>
      <c r="H254" s="22" t="n"/>
      <c r="I254" s="22">
        <f>IF($H365="","","https://youtu.be/"&amp;$H365)</f>
        <v/>
      </c>
      <c r="J254" s="22">
        <f>IF($H365="","","https://music.youtube.com/watch?v="&amp;$H365)</f>
        <v/>
      </c>
      <c r="K254" s="22">
        <f>IF($H365="","","https://img.youtube.com/vi/"&amp;$H365&amp;"/hqdefault.jpg")</f>
        <v/>
      </c>
      <c r="L254" s="24" t="inlineStr">
        <is>
          <t>확인필요</t>
        </is>
      </c>
      <c r="M254" s="21" t="inlineStr">
        <is>
          <t>N</t>
        </is>
      </c>
      <c r="N254" s="24" t="inlineStr">
        <is>
          <t>높음</t>
        </is>
      </c>
      <c r="O254" s="25" t="inlineStr">
        <is>
          <t>씨앗(검증 전)</t>
        </is>
      </c>
      <c r="P254" s="22" t="inlineStr">
        <is>
          <t>https://www.youtube.com/results?search_query=%ED%99%94%EC%82%AC%20%EB%A7%88%EC%9D%8C%20%28Heart%29</t>
        </is>
      </c>
      <c r="Q254" s="22" t="inlineStr">
        <is>
          <t>https://music.youtube.com/search?q=%ED%99%94%EC%82%AC%20%EB%A7%88%EC%9D%8C%20%28Heart%29</t>
        </is>
      </c>
    </row>
    <row r="255" ht="15" customHeight="1" s="17">
      <c r="A255" s="21" t="inlineStr">
        <is>
          <t>S254</t>
        </is>
      </c>
      <c r="B255" s="25" t="inlineStr">
        <is>
          <t>안녕</t>
        </is>
      </c>
      <c r="C255" s="25" t="inlineStr">
        <is>
          <t>폴킴</t>
        </is>
      </c>
      <c r="D255" s="23" t="inlineStr">
        <is>
          <t>2019</t>
        </is>
      </c>
      <c r="E255" s="24" t="inlineStr">
        <is>
          <t>센치감성</t>
        </is>
      </c>
      <c r="F255" s="25" t="inlineStr">
        <is>
          <t>밤바다</t>
        </is>
      </c>
      <c r="G255" s="24" t="inlineStr">
        <is>
          <t>솔로</t>
        </is>
      </c>
      <c r="H255" s="22" t="n"/>
      <c r="I255" s="22">
        <f>IF($H366="","","https://youtu.be/"&amp;$H366)</f>
        <v/>
      </c>
      <c r="J255" s="22">
        <f>IF($H366="","","https://music.youtube.com/watch?v="&amp;$H366)</f>
        <v/>
      </c>
      <c r="K255" s="22">
        <f>IF($H366="","","https://img.youtube.com/vi/"&amp;$H366&amp;"/hqdefault.jpg")</f>
        <v/>
      </c>
      <c r="L255" s="24" t="inlineStr">
        <is>
          <t>확인필요</t>
        </is>
      </c>
      <c r="M255" s="21" t="inlineStr">
        <is>
          <t>N</t>
        </is>
      </c>
      <c r="N255" s="24" t="inlineStr">
        <is>
          <t>높음</t>
        </is>
      </c>
      <c r="O255" s="25" t="inlineStr">
        <is>
          <t>씨앗(검증 전)</t>
        </is>
      </c>
      <c r="P255" s="22" t="inlineStr">
        <is>
          <t>https://www.youtube.com/results?search_query=%ED%8F%B4%ED%82%B4%20%EC%95%88%EB%85%95</t>
        </is>
      </c>
      <c r="Q255" s="22" t="inlineStr">
        <is>
          <t>https://music.youtube.com/search?q=%ED%8F%B4%ED%82%B4%20%EC%95%88%EB%85%95</t>
        </is>
      </c>
    </row>
    <row r="256" ht="15" customHeight="1" s="17">
      <c r="A256" s="21" t="inlineStr">
        <is>
          <t>S255</t>
        </is>
      </c>
      <c r="B256" s="22" t="inlineStr">
        <is>
          <t>Boat</t>
        </is>
      </c>
      <c r="C256" s="25" t="inlineStr">
        <is>
          <t>죠지</t>
        </is>
      </c>
      <c r="D256" s="23" t="inlineStr">
        <is>
          <t>2018</t>
        </is>
      </c>
      <c r="E256" s="24" t="inlineStr">
        <is>
          <t>센치감성</t>
        </is>
      </c>
      <c r="F256" s="25" t="inlineStr">
        <is>
          <t>밤바다</t>
        </is>
      </c>
      <c r="G256" s="24" t="inlineStr">
        <is>
          <t>솔로</t>
        </is>
      </c>
      <c r="H256" s="22" t="n"/>
      <c r="I256" s="22">
        <f>IF($H367="","","https://youtu.be/"&amp;$H367)</f>
        <v/>
      </c>
      <c r="J256" s="22">
        <f>IF($H367="","","https://music.youtube.com/watch?v="&amp;$H367)</f>
        <v/>
      </c>
      <c r="K256" s="22">
        <f>IF($H367="","","https://img.youtube.com/vi/"&amp;$H367&amp;"/hqdefault.jpg")</f>
        <v/>
      </c>
      <c r="L256" s="24" t="inlineStr">
        <is>
          <t>확인필요</t>
        </is>
      </c>
      <c r="M256" s="21" t="inlineStr">
        <is>
          <t>N</t>
        </is>
      </c>
      <c r="N256" s="24" t="inlineStr">
        <is>
          <t>높음</t>
        </is>
      </c>
      <c r="O256" s="25" t="inlineStr">
        <is>
          <t>씨앗(검증 전)</t>
        </is>
      </c>
      <c r="P256" s="22" t="inlineStr">
        <is>
          <t>https://www.youtube.com/results?search_query=%EC%A3%A0%EC%A7%80%20Boat</t>
        </is>
      </c>
      <c r="Q256" s="22" t="inlineStr">
        <is>
          <t>https://music.youtube.com/search?q=%EC%A3%A0%EC%A7%80%20Boat</t>
        </is>
      </c>
    </row>
    <row r="257" ht="15" customHeight="1" s="17">
      <c r="A257" s="21" t="inlineStr">
        <is>
          <t>S256</t>
        </is>
      </c>
      <c r="B257" s="25" t="inlineStr">
        <is>
          <t>그건 아마</t>
        </is>
      </c>
      <c r="C257" s="25" t="inlineStr">
        <is>
          <t>로이킴</t>
        </is>
      </c>
      <c r="D257" s="23" t="inlineStr">
        <is>
          <t>2018</t>
        </is>
      </c>
      <c r="E257" s="24" t="inlineStr">
        <is>
          <t>센치감성</t>
        </is>
      </c>
      <c r="F257" s="25" t="inlineStr">
        <is>
          <t>밤바다</t>
        </is>
      </c>
      <c r="G257" s="24" t="inlineStr">
        <is>
          <t>솔로</t>
        </is>
      </c>
      <c r="H257" s="22" t="n"/>
      <c r="I257" s="22">
        <f>IF($H368="","","https://youtu.be/"&amp;$H368)</f>
        <v/>
      </c>
      <c r="J257" s="22">
        <f>IF($H368="","","https://music.youtube.com/watch?v="&amp;$H368)</f>
        <v/>
      </c>
      <c r="K257" s="22">
        <f>IF($H368="","","https://img.youtube.com/vi/"&amp;$H368&amp;"/hqdefault.jpg")</f>
        <v/>
      </c>
      <c r="L257" s="24" t="inlineStr">
        <is>
          <t>확인필요</t>
        </is>
      </c>
      <c r="M257" s="21" t="inlineStr">
        <is>
          <t>N</t>
        </is>
      </c>
      <c r="N257" s="24" t="inlineStr">
        <is>
          <t>높음</t>
        </is>
      </c>
      <c r="O257" s="25" t="inlineStr">
        <is>
          <t>씨앗(검증 전)</t>
        </is>
      </c>
      <c r="P257" s="22" t="inlineStr">
        <is>
          <t>https://www.youtube.com/results?search_query=%EB%A1%9C%EC%9D%B4%ED%82%B4%20%EA%B7%B8%EA%B1%B4%20%EC%95%84%EB%A7%88</t>
        </is>
      </c>
      <c r="Q257" s="22" t="inlineStr">
        <is>
          <t>https://music.youtube.com/search?q=%EB%A1%9C%EC%9D%B4%ED%82%B4%20%EA%B7%B8%EA%B1%B4%20%EC%95%84%EB%A7%88</t>
        </is>
      </c>
    </row>
    <row r="258" ht="15" customHeight="1" s="17">
      <c r="A258" s="21" t="inlineStr">
        <is>
          <t>S257</t>
        </is>
      </c>
      <c r="B258" s="25" t="inlineStr">
        <is>
          <t>널 너무 모르고</t>
        </is>
      </c>
      <c r="C258" s="25" t="inlineStr">
        <is>
          <t>헤이즈</t>
        </is>
      </c>
      <c r="D258" s="23" t="inlineStr">
        <is>
          <t>2018</t>
        </is>
      </c>
      <c r="E258" s="24" t="inlineStr">
        <is>
          <t>센치감성</t>
        </is>
      </c>
      <c r="F258" s="25" t="inlineStr">
        <is>
          <t>밤바다</t>
        </is>
      </c>
      <c r="G258" s="24" t="inlineStr">
        <is>
          <t>솔로</t>
        </is>
      </c>
      <c r="H258" s="22" t="n"/>
      <c r="I258" s="22">
        <f>IF($H369="","","https://youtu.be/"&amp;$H369)</f>
        <v/>
      </c>
      <c r="J258" s="22">
        <f>IF($H369="","","https://music.youtube.com/watch?v="&amp;$H369)</f>
        <v/>
      </c>
      <c r="K258" s="22">
        <f>IF($H369="","","https://img.youtube.com/vi/"&amp;$H369&amp;"/hqdefault.jpg")</f>
        <v/>
      </c>
      <c r="L258" s="24" t="inlineStr">
        <is>
          <t>확인필요</t>
        </is>
      </c>
      <c r="M258" s="21" t="inlineStr">
        <is>
          <t>N</t>
        </is>
      </c>
      <c r="N258" s="24" t="inlineStr">
        <is>
          <t>높음</t>
        </is>
      </c>
      <c r="O258" s="25" t="inlineStr">
        <is>
          <t>씨앗(검증 전)</t>
        </is>
      </c>
      <c r="P258" s="22" t="inlineStr">
        <is>
          <t>https://www.youtube.com/results?search_query=%ED%97%A4%EC%9D%B4%EC%A6%88%20%EB%84%90%20%EB%84%88%EB%AC%B4%20%EB%AA%A8%EB%A5%B4%EA%B3%A0</t>
        </is>
      </c>
      <c r="Q258" s="22" t="inlineStr">
        <is>
          <t>https://music.youtube.com/search?q=%ED%97%A4%EC%9D%B4%EC%A6%88%20%EB%84%90%20%EB%84%88%EB%AC%B4%20%EB%AA%A8%EB%A5%B4%EA%B3%A0</t>
        </is>
      </c>
    </row>
    <row r="259" ht="15" customHeight="1" s="17">
      <c r="A259" s="21" t="inlineStr">
        <is>
          <t>S258</t>
        </is>
      </c>
      <c r="B259" s="25" t="inlineStr">
        <is>
          <t>돌아오지 마</t>
        </is>
      </c>
      <c r="C259" s="25" t="inlineStr">
        <is>
          <t>헤이즈</t>
        </is>
      </c>
      <c r="D259" s="23" t="inlineStr">
        <is>
          <t>2018</t>
        </is>
      </c>
      <c r="E259" s="24" t="inlineStr">
        <is>
          <t>센치감성</t>
        </is>
      </c>
      <c r="F259" s="25" t="inlineStr">
        <is>
          <t>비오는날, 밤바다</t>
        </is>
      </c>
      <c r="G259" s="24" t="inlineStr">
        <is>
          <t>솔로</t>
        </is>
      </c>
      <c r="H259" s="22" t="n"/>
      <c r="I259" s="22">
        <f>IF($H370="","","https://youtu.be/"&amp;$H370)</f>
        <v/>
      </c>
      <c r="J259" s="22">
        <f>IF($H370="","","https://music.youtube.com/watch?v="&amp;$H370)</f>
        <v/>
      </c>
      <c r="K259" s="22">
        <f>IF($H370="","","https://img.youtube.com/vi/"&amp;$H370&amp;"/hqdefault.jpg")</f>
        <v/>
      </c>
      <c r="L259" s="24" t="inlineStr">
        <is>
          <t>확인필요</t>
        </is>
      </c>
      <c r="M259" s="21" t="inlineStr">
        <is>
          <t>N</t>
        </is>
      </c>
      <c r="N259" s="24" t="inlineStr">
        <is>
          <t>높음</t>
        </is>
      </c>
      <c r="O259" s="25" t="inlineStr">
        <is>
          <t>씨앗(검증 전)</t>
        </is>
      </c>
      <c r="P259" s="22" t="inlineStr">
        <is>
          <t>https://www.youtube.com/results?search_query=%ED%97%A4%EC%9D%B4%EC%A6%88%20%EB%8F%8C%EC%95%84%EC%98%A4%EC%A7%80%20%EB%A7%88</t>
        </is>
      </c>
      <c r="Q259" s="22" t="inlineStr">
        <is>
          <t>https://music.youtube.com/search?q=%ED%97%A4%EC%9D%B4%EC%A6%88%20%EB%8F%8C%EC%95%84%EC%98%A4%EC%A7%80%20%EB%A7%88</t>
        </is>
      </c>
    </row>
    <row r="260" ht="15" customHeight="1" s="17">
      <c r="A260" s="21" t="inlineStr">
        <is>
          <t>S259</t>
        </is>
      </c>
      <c r="B260" s="25" t="inlineStr">
        <is>
          <t>명동콜링</t>
        </is>
      </c>
      <c r="C260" s="25" t="inlineStr">
        <is>
          <t>카더가든</t>
        </is>
      </c>
      <c r="D260" s="23" t="inlineStr">
        <is>
          <t>2018</t>
        </is>
      </c>
      <c r="E260" s="24" t="inlineStr">
        <is>
          <t>센치감성</t>
        </is>
      </c>
      <c r="F260" s="25" t="inlineStr">
        <is>
          <t>밤바다</t>
        </is>
      </c>
      <c r="G260" s="24" t="inlineStr">
        <is>
          <t>솔로</t>
        </is>
      </c>
      <c r="H260" s="22" t="n"/>
      <c r="I260" s="22">
        <f>IF($H371="","","https://youtu.be/"&amp;$H371)</f>
        <v/>
      </c>
      <c r="J260" s="22">
        <f>IF($H371="","","https://music.youtube.com/watch?v="&amp;$H371)</f>
        <v/>
      </c>
      <c r="K260" s="22">
        <f>IF($H371="","","https://img.youtube.com/vi/"&amp;$H371&amp;"/hqdefault.jpg")</f>
        <v/>
      </c>
      <c r="L260" s="24" t="inlineStr">
        <is>
          <t>확인필요</t>
        </is>
      </c>
      <c r="M260" s="21" t="inlineStr">
        <is>
          <t>N</t>
        </is>
      </c>
      <c r="N260" s="24" t="inlineStr">
        <is>
          <t>높음</t>
        </is>
      </c>
      <c r="O260" s="25" t="inlineStr">
        <is>
          <t>씨앗(검증 전)</t>
        </is>
      </c>
      <c r="P260" s="22" t="inlineStr">
        <is>
          <t>https://www.youtube.com/results?search_query=%EC%B9%B4%EB%8D%94%EA%B0%80%EB%93%A0%20%EB%AA%85%EB%8F%99%EC%BD%9C%EB%A7%81</t>
        </is>
      </c>
      <c r="Q260" s="22" t="inlineStr">
        <is>
          <t>https://music.youtube.com/search?q=%EC%B9%B4%EB%8D%94%EA%B0%80%EB%93%A0%20%EB%AA%85%EB%8F%99%EC%BD%9C%EB%A7%81</t>
        </is>
      </c>
    </row>
    <row r="261" ht="15" customHeight="1" s="17">
      <c r="A261" s="21" t="inlineStr">
        <is>
          <t>S260</t>
        </is>
      </c>
      <c r="B261" s="25" t="inlineStr">
        <is>
          <t>어떻게 지내</t>
        </is>
      </c>
      <c r="C261" s="25" t="inlineStr">
        <is>
          <t>크러쉬</t>
        </is>
      </c>
      <c r="D261" s="23" t="inlineStr">
        <is>
          <t>2018</t>
        </is>
      </c>
      <c r="E261" s="24" t="inlineStr">
        <is>
          <t>센치감성</t>
        </is>
      </c>
      <c r="F261" s="25" t="inlineStr">
        <is>
          <t>밤바다</t>
        </is>
      </c>
      <c r="G261" s="24" t="inlineStr">
        <is>
          <t>솔로</t>
        </is>
      </c>
      <c r="H261" s="22" t="n"/>
      <c r="I261" s="22">
        <f>IF($H372="","","https://youtu.be/"&amp;$H372)</f>
        <v/>
      </c>
      <c r="J261" s="22">
        <f>IF($H372="","","https://music.youtube.com/watch?v="&amp;$H372)</f>
        <v/>
      </c>
      <c r="K261" s="22">
        <f>IF($H372="","","https://img.youtube.com/vi/"&amp;$H372&amp;"/hqdefault.jpg")</f>
        <v/>
      </c>
      <c r="L261" s="24" t="inlineStr">
        <is>
          <t>확인필요</t>
        </is>
      </c>
      <c r="M261" s="21" t="inlineStr">
        <is>
          <t>N</t>
        </is>
      </c>
      <c r="N261" s="24" t="inlineStr">
        <is>
          <t>높음</t>
        </is>
      </c>
      <c r="O261" s="25" t="inlineStr">
        <is>
          <t>씨앗(검증 전)</t>
        </is>
      </c>
      <c r="P261" s="22" t="inlineStr">
        <is>
          <t>https://www.youtube.com/results?search_query=%ED%81%AC%EB%9F%AC%EC%89%AC%20%EC%96%B4%EB%96%BB%EA%B2%8C%20%EC%A7%80%EB%82%B4</t>
        </is>
      </c>
      <c r="Q261" s="22" t="inlineStr">
        <is>
          <t>https://music.youtube.com/search?q=%ED%81%AC%EB%9F%AC%EC%89%AC%20%EC%96%B4%EB%96%BB%EA%B2%8C%20%EC%A7%80%EB%82%B4</t>
        </is>
      </c>
    </row>
    <row r="262" ht="15" customHeight="1" s="17">
      <c r="A262" s="21" t="inlineStr">
        <is>
          <t>S261</t>
        </is>
      </c>
      <c r="B262" s="25" t="inlineStr">
        <is>
          <t>열애중</t>
        </is>
      </c>
      <c r="C262" s="25" t="inlineStr">
        <is>
          <t>벤</t>
        </is>
      </c>
      <c r="D262" s="23" t="inlineStr">
        <is>
          <t>2018</t>
        </is>
      </c>
      <c r="E262" s="24" t="inlineStr">
        <is>
          <t>센치감성</t>
        </is>
      </c>
      <c r="F262" s="25" t="inlineStr">
        <is>
          <t>비오는날, 밤바다</t>
        </is>
      </c>
      <c r="G262" s="24" t="inlineStr">
        <is>
          <t>솔로</t>
        </is>
      </c>
      <c r="H262" s="22" t="n"/>
      <c r="I262" s="22">
        <f>IF($H373="","","https://youtu.be/"&amp;$H373)</f>
        <v/>
      </c>
      <c r="J262" s="22">
        <f>IF($H373="","","https://music.youtube.com/watch?v="&amp;$H373)</f>
        <v/>
      </c>
      <c r="K262" s="22">
        <f>IF($H373="","","https://img.youtube.com/vi/"&amp;$H373&amp;"/hqdefault.jpg")</f>
        <v/>
      </c>
      <c r="L262" s="24" t="inlineStr">
        <is>
          <t>확인필요</t>
        </is>
      </c>
      <c r="M262" s="21" t="inlineStr">
        <is>
          <t>N</t>
        </is>
      </c>
      <c r="N262" s="24" t="inlineStr">
        <is>
          <t>높음</t>
        </is>
      </c>
      <c r="O262" s="25" t="inlineStr">
        <is>
          <t>씨앗(검증 전)</t>
        </is>
      </c>
      <c r="P262" s="22" t="inlineStr">
        <is>
          <t>https://www.youtube.com/results?search_query=%EB%B2%A4%20%EC%97%B4%EC%95%A0%EC%A4%91</t>
        </is>
      </c>
      <c r="Q262" s="22" t="inlineStr">
        <is>
          <t>https://music.youtube.com/search?q=%EB%B2%A4%20%EC%97%B4%EC%95%A0%EC%A4%91</t>
        </is>
      </c>
    </row>
    <row r="263" ht="15" customHeight="1" s="17">
      <c r="A263" s="21" t="inlineStr">
        <is>
          <t>S262</t>
        </is>
      </c>
      <c r="B263" s="25" t="inlineStr">
        <is>
          <t>저 별</t>
        </is>
      </c>
      <c r="C263" s="25" t="inlineStr">
        <is>
          <t>헤이즈</t>
        </is>
      </c>
      <c r="D263" s="23" t="inlineStr">
        <is>
          <t>2018</t>
        </is>
      </c>
      <c r="E263" s="24" t="inlineStr">
        <is>
          <t>센치감성</t>
        </is>
      </c>
      <c r="F263" s="25" t="inlineStr">
        <is>
          <t>밤바다</t>
        </is>
      </c>
      <c r="G263" s="24" t="inlineStr">
        <is>
          <t>솔로</t>
        </is>
      </c>
      <c r="H263" s="22" t="n"/>
      <c r="I263" s="22">
        <f>IF($H374="","","https://youtu.be/"&amp;$H374)</f>
        <v/>
      </c>
      <c r="J263" s="22">
        <f>IF($H374="","","https://music.youtube.com/watch?v="&amp;$H374)</f>
        <v/>
      </c>
      <c r="K263" s="22">
        <f>IF($H374="","","https://img.youtube.com/vi/"&amp;$H374&amp;"/hqdefault.jpg")</f>
        <v/>
      </c>
      <c r="L263" s="24" t="inlineStr">
        <is>
          <t>확인필요</t>
        </is>
      </c>
      <c r="M263" s="21" t="inlineStr">
        <is>
          <t>N</t>
        </is>
      </c>
      <c r="N263" s="24" t="inlineStr">
        <is>
          <t>높음</t>
        </is>
      </c>
      <c r="O263" s="25" t="inlineStr">
        <is>
          <t>씨앗(검증 전)</t>
        </is>
      </c>
      <c r="P263" s="22" t="inlineStr">
        <is>
          <t>https://www.youtube.com/results?search_query=%ED%97%A4%EC%9D%B4%EC%A6%88%20%EC%A0%80%20%EB%B3%84</t>
        </is>
      </c>
      <c r="Q263" s="22" t="inlineStr">
        <is>
          <t>https://music.youtube.com/search?q=%ED%97%A4%EC%9D%B4%EC%A6%88%20%EC%A0%80%20%EB%B3%84</t>
        </is>
      </c>
    </row>
    <row r="264" ht="15" customHeight="1" s="17">
      <c r="A264" s="21" t="inlineStr">
        <is>
          <t>S263</t>
        </is>
      </c>
      <c r="B264" s="25" t="inlineStr">
        <is>
          <t>주인공 (Heroine)</t>
        </is>
      </c>
      <c r="C264" s="25" t="inlineStr">
        <is>
          <t>선미</t>
        </is>
      </c>
      <c r="D264" s="23" t="inlineStr">
        <is>
          <t>2018</t>
        </is>
      </c>
      <c r="E264" s="24" t="inlineStr">
        <is>
          <t>센치감성</t>
        </is>
      </c>
      <c r="F264" s="25" t="inlineStr">
        <is>
          <t>비오는날, 밤바다</t>
        </is>
      </c>
      <c r="G264" s="24" t="inlineStr">
        <is>
          <t>솔로</t>
        </is>
      </c>
      <c r="H264" s="22" t="n"/>
      <c r="I264" s="22">
        <f>IF($H375="","","https://youtu.be/"&amp;$H375)</f>
        <v/>
      </c>
      <c r="J264" s="22">
        <f>IF($H375="","","https://music.youtube.com/watch?v="&amp;$H375)</f>
        <v/>
      </c>
      <c r="K264" s="22">
        <f>IF($H375="","","https://img.youtube.com/vi/"&amp;$H375&amp;"/hqdefault.jpg")</f>
        <v/>
      </c>
      <c r="L264" s="24" t="inlineStr">
        <is>
          <t>확인필요</t>
        </is>
      </c>
      <c r="M264" s="21" t="inlineStr">
        <is>
          <t>N</t>
        </is>
      </c>
      <c r="N264" s="24" t="inlineStr">
        <is>
          <t>높음</t>
        </is>
      </c>
      <c r="O264" s="25" t="inlineStr">
        <is>
          <t>씨앗(검증 전)</t>
        </is>
      </c>
      <c r="P264" s="22" t="inlineStr">
        <is>
          <t>https://www.youtube.com/results?search_query=%EC%84%A0%EB%AF%B8%20%EC%A3%BC%EC%9D%B8%EA%B3%B5%20%28Heroine%29</t>
        </is>
      </c>
      <c r="Q264" s="22" t="inlineStr">
        <is>
          <t>https://music.youtube.com/search?q=%EC%84%A0%EB%AF%B8%20%EC%A3%BC%EC%9D%B8%EA%B3%B5%20%28Heroine%29</t>
        </is>
      </c>
    </row>
    <row r="265" ht="15" customHeight="1" s="17">
      <c r="A265" s="21" t="inlineStr">
        <is>
          <t>S264</t>
        </is>
      </c>
      <c r="B265" s="25" t="inlineStr">
        <is>
          <t>비도 오고 그래서</t>
        </is>
      </c>
      <c r="C265" s="25" t="inlineStr">
        <is>
          <t>헤이즈</t>
        </is>
      </c>
      <c r="D265" s="23" t="inlineStr">
        <is>
          <t>2017</t>
        </is>
      </c>
      <c r="E265" s="24" t="inlineStr">
        <is>
          <t>센치감성</t>
        </is>
      </c>
      <c r="F265" s="25" t="inlineStr">
        <is>
          <t>비오는날, 밤바다</t>
        </is>
      </c>
      <c r="G265" s="24" t="inlineStr">
        <is>
          <t>솔로</t>
        </is>
      </c>
      <c r="H265" s="22" t="inlineStr">
        <is>
          <t>afxLaQiLu-o</t>
        </is>
      </c>
      <c r="I265" s="22">
        <f>IF($H382="","","https://youtu.be/"&amp;$H382)</f>
        <v/>
      </c>
      <c r="J265" s="22">
        <f>IF($H382="","","https://music.youtube.com/watch?v="&amp;$H382)</f>
        <v/>
      </c>
      <c r="K265" s="22">
        <f>IF($H382="","","https://img.youtube.com/vi/"&amp;$H382&amp;"/hqdefault.jpg")</f>
        <v/>
      </c>
      <c r="L265" s="24" t="inlineStr">
        <is>
          <t>확인필요</t>
        </is>
      </c>
      <c r="M265" s="21" t="inlineStr">
        <is>
          <t>N</t>
        </is>
      </c>
      <c r="N265" s="24" t="inlineStr">
        <is>
          <t>높음</t>
        </is>
      </c>
      <c r="O265" s="25" t="inlineStr">
        <is>
          <t>참조: 정민재 '비 오는 날 듣는 가요 30'</t>
        </is>
      </c>
      <c r="P265" s="22" t="inlineStr">
        <is>
          <t>https://youtu.be/afxLaQiLu-o</t>
        </is>
      </c>
      <c r="Q265" s="22" t="inlineStr">
        <is>
          <t>https://music.youtube.com/watch?v=afxLaQiLu-o</t>
        </is>
      </c>
    </row>
    <row r="266" ht="15" customHeight="1" s="17">
      <c r="A266" s="21" t="inlineStr">
        <is>
          <t>S265</t>
        </is>
      </c>
      <c r="B266" s="22" t="inlineStr">
        <is>
          <t>Rain</t>
        </is>
      </c>
      <c r="C266" s="25" t="inlineStr">
        <is>
          <t>태연</t>
        </is>
      </c>
      <c r="D266" s="23" t="inlineStr">
        <is>
          <t>2016</t>
        </is>
      </c>
      <c r="E266" s="24" t="inlineStr">
        <is>
          <t>센치감성</t>
        </is>
      </c>
      <c r="F266" s="25" t="inlineStr">
        <is>
          <t>비오는날, 밤바다</t>
        </is>
      </c>
      <c r="G266" s="24" t="inlineStr">
        <is>
          <t>솔로</t>
        </is>
      </c>
      <c r="H266" s="22" t="inlineStr">
        <is>
          <t>eHir_vB1RUI</t>
        </is>
      </c>
      <c r="I266" s="22">
        <f>IF($H385="","","https://youtu.be/"&amp;$H385)</f>
        <v/>
      </c>
      <c r="J266" s="22">
        <f>IF($H385="","","https://music.youtube.com/watch?v="&amp;$H385)</f>
        <v/>
      </c>
      <c r="K266" s="22">
        <f>IF($H385="","","https://img.youtube.com/vi/"&amp;$H385&amp;"/hqdefault.jpg")</f>
        <v/>
      </c>
      <c r="L266" s="24" t="inlineStr">
        <is>
          <t>확인필요</t>
        </is>
      </c>
      <c r="M266" s="21" t="inlineStr">
        <is>
          <t>N</t>
        </is>
      </c>
      <c r="N266" s="24" t="inlineStr">
        <is>
          <t>높음</t>
        </is>
      </c>
      <c r="O266" s="25" t="inlineStr">
        <is>
          <t>참조: 정민재 '비 오는 날 듣는 가요 30'</t>
        </is>
      </c>
      <c r="P266" s="22" t="inlineStr">
        <is>
          <t>https://youtu.be/eHir_vB1RUI</t>
        </is>
      </c>
      <c r="Q266" s="22" t="inlineStr">
        <is>
          <t>https://music.youtube.com/watch?v=eHir_vB1RUI</t>
        </is>
      </c>
    </row>
    <row r="267" ht="15" customHeight="1" s="17">
      <c r="A267" s="21" t="inlineStr">
        <is>
          <t>S266</t>
        </is>
      </c>
      <c r="B267" s="25" t="inlineStr">
        <is>
          <t>비</t>
        </is>
      </c>
      <c r="C267" s="25" t="inlineStr">
        <is>
          <t>폴킴</t>
        </is>
      </c>
      <c r="D267" s="23" t="inlineStr">
        <is>
          <t>2016</t>
        </is>
      </c>
      <c r="E267" s="24" t="inlineStr">
        <is>
          <t>센치감성</t>
        </is>
      </c>
      <c r="F267" s="25" t="inlineStr">
        <is>
          <t>비오는날, 밤바다</t>
        </is>
      </c>
      <c r="G267" s="24" t="inlineStr">
        <is>
          <t>솔로</t>
        </is>
      </c>
      <c r="H267" s="22" t="inlineStr">
        <is>
          <t>9jFZdu0zTEA</t>
        </is>
      </c>
      <c r="I267" s="22">
        <f>IF($H386="","","https://youtu.be/"&amp;$H386)</f>
        <v/>
      </c>
      <c r="J267" s="22">
        <f>IF($H386="","","https://music.youtube.com/watch?v="&amp;$H386)</f>
        <v/>
      </c>
      <c r="K267" s="22">
        <f>IF($H386="","","https://img.youtube.com/vi/"&amp;$H386&amp;"/hqdefault.jpg")</f>
        <v/>
      </c>
      <c r="L267" s="24" t="inlineStr">
        <is>
          <t>확인필요</t>
        </is>
      </c>
      <c r="M267" s="21" t="inlineStr">
        <is>
          <t>N</t>
        </is>
      </c>
      <c r="N267" s="24" t="inlineStr">
        <is>
          <t>높음</t>
        </is>
      </c>
      <c r="O267" s="25" t="inlineStr">
        <is>
          <t>참조: 정민재 '비 오는 날 듣는 가요 30'</t>
        </is>
      </c>
      <c r="P267" s="22" t="inlineStr">
        <is>
          <t>https://youtu.be/9jFZdu0zTEA</t>
        </is>
      </c>
      <c r="Q267" s="22" t="inlineStr">
        <is>
          <t>https://music.youtube.com/watch?v=9jFZdu0zTEA</t>
        </is>
      </c>
    </row>
    <row r="268" ht="15" customHeight="1" s="17">
      <c r="A268" s="21" t="inlineStr">
        <is>
          <t>S267</t>
        </is>
      </c>
      <c r="B268" s="25" t="inlineStr">
        <is>
          <t>푸르던</t>
        </is>
      </c>
      <c r="C268" s="25" t="inlineStr">
        <is>
          <t>아이유</t>
        </is>
      </c>
      <c r="D268" s="23" t="inlineStr">
        <is>
          <t>2015</t>
        </is>
      </c>
      <c r="E268" s="24" t="inlineStr">
        <is>
          <t>센치감성</t>
        </is>
      </c>
      <c r="F268" s="25" t="inlineStr">
        <is>
          <t>비오는날, 밤바다</t>
        </is>
      </c>
      <c r="G268" s="24" t="inlineStr">
        <is>
          <t>솔로</t>
        </is>
      </c>
      <c r="H268" s="22" t="inlineStr">
        <is>
          <t>m-V6Ec73dVA</t>
        </is>
      </c>
      <c r="I268" s="22">
        <f>IF($H388="","","https://youtu.be/"&amp;$H388)</f>
        <v/>
      </c>
      <c r="J268" s="22">
        <f>IF($H388="","","https://music.youtube.com/watch?v="&amp;$H388)</f>
        <v/>
      </c>
      <c r="K268" s="22">
        <f>IF($H388="","","https://img.youtube.com/vi/"&amp;$H388&amp;"/hqdefault.jpg")</f>
        <v/>
      </c>
      <c r="L268" s="24" t="inlineStr">
        <is>
          <t>확인필요</t>
        </is>
      </c>
      <c r="M268" s="21" t="inlineStr">
        <is>
          <t>N</t>
        </is>
      </c>
      <c r="N268" s="24" t="inlineStr">
        <is>
          <t>높음</t>
        </is>
      </c>
      <c r="O268" s="25" t="inlineStr">
        <is>
          <t>참조: 정민재 '비 오는 날 듣는 가요 30'</t>
        </is>
      </c>
      <c r="P268" s="22" t="inlineStr">
        <is>
          <t>https://youtu.be/m-V6Ec73dVA</t>
        </is>
      </c>
      <c r="Q268" s="22" t="inlineStr">
        <is>
          <t>https://music.youtube.com/watch?v=m-V6Ec73dVA</t>
        </is>
      </c>
    </row>
    <row r="269" ht="15" customHeight="1" s="17">
      <c r="A269" s="21" t="inlineStr">
        <is>
          <t>S268</t>
        </is>
      </c>
      <c r="B269" s="25" t="inlineStr">
        <is>
          <t>비가 내린다</t>
        </is>
      </c>
      <c r="C269" s="25" t="inlineStr">
        <is>
          <t>차은주</t>
        </is>
      </c>
      <c r="D269" s="23" t="inlineStr">
        <is>
          <t>2014</t>
        </is>
      </c>
      <c r="E269" s="24" t="inlineStr">
        <is>
          <t>센치감성</t>
        </is>
      </c>
      <c r="F269" s="25" t="inlineStr">
        <is>
          <t>비오는날, 밤바다</t>
        </is>
      </c>
      <c r="G269" s="24" t="inlineStr">
        <is>
          <t>솔로</t>
        </is>
      </c>
      <c r="H269" s="22" t="inlineStr">
        <is>
          <t>nQljDG_yaH0</t>
        </is>
      </c>
      <c r="I269" s="22">
        <f>IF($H390="","","https://youtu.be/"&amp;$H390)</f>
        <v/>
      </c>
      <c r="J269" s="22">
        <f>IF($H390="","","https://music.youtube.com/watch?v="&amp;$H390)</f>
        <v/>
      </c>
      <c r="K269" s="22">
        <f>IF($H390="","","https://img.youtube.com/vi/"&amp;$H390&amp;"/hqdefault.jpg")</f>
        <v/>
      </c>
      <c r="L269" s="24" t="inlineStr">
        <is>
          <t>확인필요</t>
        </is>
      </c>
      <c r="M269" s="21" t="inlineStr">
        <is>
          <t>N</t>
        </is>
      </c>
      <c r="N269" s="24" t="inlineStr">
        <is>
          <t>높음</t>
        </is>
      </c>
      <c r="O269" s="25" t="inlineStr">
        <is>
          <t>참조: 정민재 '비 오는 날 듣는 가요 30'</t>
        </is>
      </c>
      <c r="P269" s="22" t="inlineStr">
        <is>
          <t>https://youtu.be/nQljDG_yaH0</t>
        </is>
      </c>
      <c r="Q269" s="22" t="inlineStr">
        <is>
          <t>https://music.youtube.com/watch?v=nQljDG_yaH0</t>
        </is>
      </c>
    </row>
    <row r="270" ht="15" customHeight="1" s="17">
      <c r="A270" s="21" t="inlineStr">
        <is>
          <t>S269</t>
        </is>
      </c>
      <c r="B270" s="22" t="inlineStr">
        <is>
          <t>Rain</t>
        </is>
      </c>
      <c r="C270" s="25" t="inlineStr">
        <is>
          <t>김예림</t>
        </is>
      </c>
      <c r="D270" s="23" t="inlineStr">
        <is>
          <t>2013</t>
        </is>
      </c>
      <c r="E270" s="24" t="inlineStr">
        <is>
          <t>센치감성</t>
        </is>
      </c>
      <c r="F270" s="25" t="inlineStr">
        <is>
          <t>비오는날, 밤바다</t>
        </is>
      </c>
      <c r="G270" s="24" t="inlineStr">
        <is>
          <t>솔로</t>
        </is>
      </c>
      <c r="H270" s="22" t="inlineStr">
        <is>
          <t>qlMXZvY-_cM</t>
        </is>
      </c>
      <c r="I270" s="22">
        <f>IF($H391="","","https://youtu.be/"&amp;$H391)</f>
        <v/>
      </c>
      <c r="J270" s="22">
        <f>IF($H391="","","https://music.youtube.com/watch?v="&amp;$H391)</f>
        <v/>
      </c>
      <c r="K270" s="22">
        <f>IF($H391="","","https://img.youtube.com/vi/"&amp;$H391&amp;"/hqdefault.jpg")</f>
        <v/>
      </c>
      <c r="L270" s="24" t="inlineStr">
        <is>
          <t>확인필요</t>
        </is>
      </c>
      <c r="M270" s="21" t="inlineStr">
        <is>
          <t>N</t>
        </is>
      </c>
      <c r="N270" s="24" t="inlineStr">
        <is>
          <t>높음</t>
        </is>
      </c>
      <c r="O270" s="25" t="inlineStr">
        <is>
          <t>참조: 정민재 '비 오는 날 듣는 가요 30'</t>
        </is>
      </c>
      <c r="P270" s="22" t="inlineStr">
        <is>
          <t>https://youtu.be/qlMXZvY-_cM</t>
        </is>
      </c>
      <c r="Q270" s="22" t="inlineStr">
        <is>
          <t>https://music.youtube.com/watch?v=qlMXZvY-_cM</t>
        </is>
      </c>
    </row>
    <row r="271" ht="15" customHeight="1" s="17">
      <c r="A271" s="21" t="inlineStr">
        <is>
          <t>S270</t>
        </is>
      </c>
      <c r="B271" s="25" t="inlineStr">
        <is>
          <t>비온다</t>
        </is>
      </c>
      <c r="C271" s="25" t="inlineStr">
        <is>
          <t>선우정아</t>
        </is>
      </c>
      <c r="D271" s="23" t="inlineStr">
        <is>
          <t>2013</t>
        </is>
      </c>
      <c r="E271" s="24" t="inlineStr">
        <is>
          <t>센치감성</t>
        </is>
      </c>
      <c r="F271" s="25" t="inlineStr">
        <is>
          <t>비오는날, 밤바다</t>
        </is>
      </c>
      <c r="G271" s="24" t="inlineStr">
        <is>
          <t>솔로</t>
        </is>
      </c>
      <c r="H271" s="22" t="inlineStr">
        <is>
          <t>lpcl9TRshlk</t>
        </is>
      </c>
      <c r="I271" s="22">
        <f>IF($H392="","","https://youtu.be/"&amp;$H392)</f>
        <v/>
      </c>
      <c r="J271" s="22">
        <f>IF($H392="","","https://music.youtube.com/watch?v="&amp;$H392)</f>
        <v/>
      </c>
      <c r="K271" s="22">
        <f>IF($H392="","","https://img.youtube.com/vi/"&amp;$H392&amp;"/hqdefault.jpg")</f>
        <v/>
      </c>
      <c r="L271" s="24" t="inlineStr">
        <is>
          <t>확인필요</t>
        </is>
      </c>
      <c r="M271" s="21" t="inlineStr">
        <is>
          <t>N</t>
        </is>
      </c>
      <c r="N271" s="24" t="inlineStr">
        <is>
          <t>높음</t>
        </is>
      </c>
      <c r="O271" s="25" t="inlineStr">
        <is>
          <t>참조: 정민재 '비 오는 날 듣는 가요 30'</t>
        </is>
      </c>
      <c r="P271" s="22" t="inlineStr">
        <is>
          <t>https://youtu.be/lpcl9TRshlk</t>
        </is>
      </c>
      <c r="Q271" s="22" t="inlineStr">
        <is>
          <t>https://music.youtube.com/watch?v=lpcl9TRshlk</t>
        </is>
      </c>
    </row>
    <row r="272" ht="15" customHeight="1" s="17">
      <c r="A272" s="21" t="inlineStr">
        <is>
          <t>S271</t>
        </is>
      </c>
      <c r="B272" s="25" t="inlineStr">
        <is>
          <t>장마</t>
        </is>
      </c>
      <c r="C272" s="25" t="inlineStr">
        <is>
          <t>정인</t>
        </is>
      </c>
      <c r="D272" s="23" t="inlineStr">
        <is>
          <t>2011</t>
        </is>
      </c>
      <c r="E272" s="24" t="inlineStr">
        <is>
          <t>센치감성</t>
        </is>
      </c>
      <c r="F272" s="25" t="inlineStr">
        <is>
          <t>비오는날, 밤바다</t>
        </is>
      </c>
      <c r="G272" s="24" t="inlineStr">
        <is>
          <t>솔로</t>
        </is>
      </c>
      <c r="H272" s="22" t="inlineStr">
        <is>
          <t>weqPom5x9YI</t>
        </is>
      </c>
      <c r="I272" s="22">
        <f>IF($H393="","","https://youtu.be/"&amp;$H393)</f>
        <v/>
      </c>
      <c r="J272" s="22">
        <f>IF($H393="","","https://music.youtube.com/watch?v="&amp;$H393)</f>
        <v/>
      </c>
      <c r="K272" s="22">
        <f>IF($H393="","","https://img.youtube.com/vi/"&amp;$H393&amp;"/hqdefault.jpg")</f>
        <v/>
      </c>
      <c r="L272" s="24" t="inlineStr">
        <is>
          <t>확인필요</t>
        </is>
      </c>
      <c r="M272" s="21" t="inlineStr">
        <is>
          <t>N</t>
        </is>
      </c>
      <c r="N272" s="24" t="inlineStr">
        <is>
          <t>보통</t>
        </is>
      </c>
      <c r="O272" s="25" t="inlineStr">
        <is>
          <t>참조: 정민재 '비 오는 날 듣는 가요 30'</t>
        </is>
      </c>
      <c r="P272" s="22" t="inlineStr">
        <is>
          <t>https://youtu.be/weqPom5x9YI</t>
        </is>
      </c>
      <c r="Q272" s="22" t="inlineStr">
        <is>
          <t>https://music.youtube.com/watch?v=weqPom5x9YI</t>
        </is>
      </c>
    </row>
    <row r="273" ht="15" customHeight="1" s="17">
      <c r="A273" s="21" t="inlineStr">
        <is>
          <t>S272</t>
        </is>
      </c>
      <c r="B273" s="22" t="inlineStr">
        <is>
          <t>Straight Line</t>
        </is>
      </c>
      <c r="C273" s="25" t="inlineStr">
        <is>
          <t>루시</t>
        </is>
      </c>
      <c r="D273" s="23" t="inlineStr">
        <is>
          <t>2021</t>
        </is>
      </c>
      <c r="E273" s="24" t="inlineStr">
        <is>
          <t>청량시원</t>
        </is>
      </c>
      <c r="F273" s="25" t="inlineStr">
        <is>
          <t>드라이브</t>
        </is>
      </c>
      <c r="G273" s="24" t="inlineStr">
        <is>
          <t>밴드</t>
        </is>
      </c>
      <c r="H273" s="22" t="n"/>
      <c r="I273" s="22">
        <f>IF($H403="","","https://youtu.be/"&amp;$H403)</f>
        <v/>
      </c>
      <c r="J273" s="22">
        <f>IF($H403="","","https://music.youtube.com/watch?v="&amp;$H403)</f>
        <v/>
      </c>
      <c r="K273" s="22">
        <f>IF($H403="","","https://img.youtube.com/vi/"&amp;$H403&amp;"/hqdefault.jpg")</f>
        <v/>
      </c>
      <c r="L273" s="24" t="inlineStr">
        <is>
          <t>확인필요</t>
        </is>
      </c>
      <c r="M273" s="21" t="inlineStr">
        <is>
          <t>N</t>
        </is>
      </c>
      <c r="N273" s="24" t="inlineStr">
        <is>
          <t>높음</t>
        </is>
      </c>
      <c r="O273" s="25" t="inlineStr">
        <is>
          <t>씨앗(검증 전)</t>
        </is>
      </c>
      <c r="P273" s="22" t="inlineStr">
        <is>
          <t>https://www.youtube.com/results?search_query=%EB%A3%A8%EC%8B%9C%20Straight%20Line</t>
        </is>
      </c>
      <c r="Q273" s="22" t="inlineStr">
        <is>
          <t>https://music.youtube.com/search?q=%EB%A3%A8%EC%8B%9C%20Straight%20Line</t>
        </is>
      </c>
    </row>
    <row r="274" ht="15" customHeight="1" s="17">
      <c r="A274" s="21" t="inlineStr">
        <is>
          <t>S273</t>
        </is>
      </c>
      <c r="B274" s="22" t="inlineStr">
        <is>
          <t>Vivid</t>
        </is>
      </c>
      <c r="C274" s="25" t="inlineStr">
        <is>
          <t>아도이</t>
        </is>
      </c>
      <c r="D274" s="23" t="inlineStr">
        <is>
          <t>2020</t>
        </is>
      </c>
      <c r="E274" s="24" t="inlineStr">
        <is>
          <t>청량시원</t>
        </is>
      </c>
      <c r="F274" s="25" t="inlineStr">
        <is>
          <t>바다, 드라이브</t>
        </is>
      </c>
      <c r="G274" s="24" t="inlineStr">
        <is>
          <t>밴드</t>
        </is>
      </c>
      <c r="H274" s="22" t="n"/>
      <c r="I274" s="22">
        <f>IF($H404="","","https://youtu.be/"&amp;$H404)</f>
        <v/>
      </c>
      <c r="J274" s="22">
        <f>IF($H404="","","https://music.youtube.com/watch?v="&amp;$H404)</f>
        <v/>
      </c>
      <c r="K274" s="22">
        <f>IF($H404="","","https://img.youtube.com/vi/"&amp;$H404&amp;"/hqdefault.jpg")</f>
        <v/>
      </c>
      <c r="L274" s="24" t="inlineStr">
        <is>
          <t>확인필요</t>
        </is>
      </c>
      <c r="M274" s="21" t="inlineStr">
        <is>
          <t>N</t>
        </is>
      </c>
      <c r="N274" s="24" t="inlineStr">
        <is>
          <t>높음</t>
        </is>
      </c>
      <c r="O274" s="25" t="inlineStr">
        <is>
          <t>씨앗(검증 전)</t>
        </is>
      </c>
      <c r="P274" s="22" t="inlineStr">
        <is>
          <t>https://www.youtube.com/results?search_query=%EC%95%84%EB%8F%84%EC%9D%B4%20Vivid</t>
        </is>
      </c>
      <c r="Q274" s="22" t="inlineStr">
        <is>
          <t>https://music.youtube.com/search?q=%EC%95%84%EB%8F%84%EC%9D%B4%20Vivid</t>
        </is>
      </c>
    </row>
    <row r="275" ht="15" customHeight="1" s="17">
      <c r="A275" s="21" t="inlineStr">
        <is>
          <t>S274</t>
        </is>
      </c>
      <c r="B275" s="25" t="inlineStr">
        <is>
          <t>굿밤 (Good Bam)</t>
        </is>
      </c>
      <c r="C275" s="25" t="inlineStr">
        <is>
          <t>엔플라잉</t>
        </is>
      </c>
      <c r="D275" s="23" t="inlineStr">
        <is>
          <t>2020</t>
        </is>
      </c>
      <c r="E275" s="24" t="inlineStr">
        <is>
          <t>설렘두근</t>
        </is>
      </c>
      <c r="F275" s="25" t="inlineStr">
        <is>
          <t>밤바다</t>
        </is>
      </c>
      <c r="G275" s="24" t="inlineStr">
        <is>
          <t>밴드</t>
        </is>
      </c>
      <c r="H275" s="22" t="n"/>
      <c r="I275" s="22">
        <f>IF($H423="","","https://youtu.be/"&amp;$H423)</f>
        <v/>
      </c>
      <c r="J275" s="22">
        <f>IF($H423="","","https://music.youtube.com/watch?v="&amp;$H423)</f>
        <v/>
      </c>
      <c r="K275" s="22">
        <f>IF($H423="","","https://img.youtube.com/vi/"&amp;$H423&amp;"/hqdefault.jpg")</f>
        <v/>
      </c>
      <c r="L275" s="24" t="inlineStr">
        <is>
          <t>확인필요</t>
        </is>
      </c>
      <c r="M275" s="21" t="inlineStr">
        <is>
          <t>N</t>
        </is>
      </c>
      <c r="N275" s="24" t="inlineStr">
        <is>
          <t>높음</t>
        </is>
      </c>
      <c r="O275" s="25" t="inlineStr">
        <is>
          <t>씨앗(검증 전)</t>
        </is>
      </c>
      <c r="P275" s="22" t="inlineStr">
        <is>
          <t>https://www.youtube.com/results?search_query=%EC%97%94%ED%94%8C%EB%9D%BC%EC%9E%89%20%EA%B5%BF%EB%B0%A4%20%28Good%20Bam%29</t>
        </is>
      </c>
      <c r="Q275" s="22" t="inlineStr">
        <is>
          <t>https://music.youtube.com/search?q=%EC%97%94%ED%94%8C%EB%9D%BC%EC%9E%89%20%EA%B5%BF%EB%B0%A4%20%28Good%20Bam%29</t>
        </is>
      </c>
    </row>
    <row r="276" ht="15" customHeight="1" s="17">
      <c r="A276" s="21" t="inlineStr">
        <is>
          <t>S275</t>
        </is>
      </c>
      <c r="B276" s="25" t="inlineStr">
        <is>
          <t>좋은 사람 있으면 소개시켜줘</t>
        </is>
      </c>
      <c r="C276" s="25" t="inlineStr">
        <is>
          <t>원위</t>
        </is>
      </c>
      <c r="D276" s="23" t="inlineStr">
        <is>
          <t>2020</t>
        </is>
      </c>
      <c r="E276" s="24" t="inlineStr">
        <is>
          <t>설렘두근</t>
        </is>
      </c>
      <c r="F276" s="25" t="inlineStr">
        <is>
          <t>밤바다</t>
        </is>
      </c>
      <c r="G276" s="24" t="inlineStr">
        <is>
          <t>밴드</t>
        </is>
      </c>
      <c r="H276" s="22" t="n"/>
      <c r="I276" s="22">
        <f>IF($H424="","","https://youtu.be/"&amp;$H424)</f>
        <v/>
      </c>
      <c r="J276" s="22">
        <f>IF($H424="","","https://music.youtube.com/watch?v="&amp;$H424)</f>
        <v/>
      </c>
      <c r="K276" s="22">
        <f>IF($H424="","","https://img.youtube.com/vi/"&amp;$H424&amp;"/hqdefault.jpg")</f>
        <v/>
      </c>
      <c r="L276" s="24" t="inlineStr">
        <is>
          <t>확인필요</t>
        </is>
      </c>
      <c r="M276" s="21" t="inlineStr">
        <is>
          <t>N</t>
        </is>
      </c>
      <c r="N276" s="24" t="inlineStr">
        <is>
          <t>높음</t>
        </is>
      </c>
      <c r="O276" s="25" t="inlineStr">
        <is>
          <t>씨앗(검증 전)</t>
        </is>
      </c>
      <c r="P276" s="22" t="inlineStr">
        <is>
          <t>https://www.youtube.com/results?search_query=%EC%9B%90%EC%9C%84%20%EC%A2%8B%EC%9D%80%20%EC%82%AC%EB%9E%8C%20%EC%9E%88%EC%9C%BC%EB%A9%B4%20%EC%86%8C%EA%B0%9C%EC%8B%9C%EC%BC%9C%EC%A4%98</t>
        </is>
      </c>
      <c r="Q276" s="22" t="inlineStr">
        <is>
          <t>https://music.youtube.com/search?q=%EC%9B%90%EC%9C%84%20%EC%A2%8B%EC%9D%80%20%EC%82%AC%EB%9E%8C%20%EC%9E%88%EC%9C%BC%EB%A9%B4%20%EC%86%8C%EA%B0%9C%EC%8B%9C%EC%BC%9C%EC%A4%98</t>
        </is>
      </c>
    </row>
    <row r="277" ht="15" customHeight="1" s="17">
      <c r="A277" s="21" t="inlineStr">
        <is>
          <t>S276</t>
        </is>
      </c>
      <c r="B277" s="25" t="inlineStr">
        <is>
          <t>기다린 만큼, 더</t>
        </is>
      </c>
      <c r="C277" s="25" t="inlineStr">
        <is>
          <t>검정치마</t>
        </is>
      </c>
      <c r="D277" s="23" t="inlineStr">
        <is>
          <t>2019</t>
        </is>
      </c>
      <c r="E277" s="24" t="inlineStr">
        <is>
          <t>설렘두근</t>
        </is>
      </c>
      <c r="F277" s="25" t="inlineStr">
        <is>
          <t>밤바다, 드라이브</t>
        </is>
      </c>
      <c r="G277" s="24" t="inlineStr">
        <is>
          <t>밴드</t>
        </is>
      </c>
      <c r="H277" s="22" t="n"/>
      <c r="I277" s="22">
        <f>IF($H425="","","https://youtu.be/"&amp;$H425)</f>
        <v/>
      </c>
      <c r="J277" s="22">
        <f>IF($H425="","","https://music.youtube.com/watch?v="&amp;$H425)</f>
        <v/>
      </c>
      <c r="K277" s="22">
        <f>IF($H425="","","https://img.youtube.com/vi/"&amp;$H425&amp;"/hqdefault.jpg")</f>
        <v/>
      </c>
      <c r="L277" s="24" t="inlineStr">
        <is>
          <t>확인필요</t>
        </is>
      </c>
      <c r="M277" s="21" t="inlineStr">
        <is>
          <t>N</t>
        </is>
      </c>
      <c r="N277" s="24" t="inlineStr">
        <is>
          <t>높음</t>
        </is>
      </c>
      <c r="O277" s="25" t="inlineStr">
        <is>
          <t>씨앗(검증 전)</t>
        </is>
      </c>
      <c r="P277" s="22" t="inlineStr">
        <is>
          <t>https://www.youtube.com/results?search_query=%EA%B2%80%EC%A0%95%EC%B9%98%EB%A7%88%20%EA%B8%B0%EB%8B%A4%EB%A6%B0%20%EB%A7%8C%ED%81%BC%2C%20%EB%8D%94</t>
        </is>
      </c>
      <c r="Q277" s="22" t="inlineStr">
        <is>
          <t>https://music.youtube.com/search?q=%EA%B2%80%EC%A0%95%EC%B9%98%EB%A7%88%20%EA%B8%B0%EB%8B%A4%EB%A6%B0%20%EB%A7%8C%ED%81%BC%2C%20%EB%8D%94</t>
        </is>
      </c>
    </row>
    <row r="278" ht="15" customHeight="1" s="17">
      <c r="A278" s="21" t="inlineStr">
        <is>
          <t>S277</t>
        </is>
      </c>
      <c r="B278" s="25" t="inlineStr">
        <is>
          <t>옥탑방 (Rooftop)</t>
        </is>
      </c>
      <c r="C278" s="25" t="inlineStr">
        <is>
          <t>엔플라잉</t>
        </is>
      </c>
      <c r="D278" s="23" t="inlineStr">
        <is>
          <t>2019</t>
        </is>
      </c>
      <c r="E278" s="24" t="inlineStr">
        <is>
          <t>설렘두근</t>
        </is>
      </c>
      <c r="F278" s="25" t="inlineStr">
        <is>
          <t>밤바다</t>
        </is>
      </c>
      <c r="G278" s="24" t="inlineStr">
        <is>
          <t>밴드</t>
        </is>
      </c>
      <c r="H278" s="22" t="n"/>
      <c r="I278" s="22">
        <f>IF($H426="","","https://youtu.be/"&amp;$H426)</f>
        <v/>
      </c>
      <c r="J278" s="22">
        <f>IF($H426="","","https://music.youtube.com/watch?v="&amp;$H426)</f>
        <v/>
      </c>
      <c r="K278" s="22">
        <f>IF($H426="","","https://img.youtube.com/vi/"&amp;$H426&amp;"/hqdefault.jpg")</f>
        <v/>
      </c>
      <c r="L278" s="24" t="inlineStr">
        <is>
          <t>확인필요</t>
        </is>
      </c>
      <c r="M278" s="21" t="inlineStr">
        <is>
          <t>N</t>
        </is>
      </c>
      <c r="N278" s="24" t="inlineStr">
        <is>
          <t>높음</t>
        </is>
      </c>
      <c r="O278" s="25" t="inlineStr">
        <is>
          <t>씨앗(검증 전)</t>
        </is>
      </c>
      <c r="P278" s="22" t="inlineStr">
        <is>
          <t>https://www.youtube.com/results?search_query=%EC%97%94%ED%94%8C%EB%9D%BC%EC%9E%89%20%EC%98%A5%ED%83%91%EB%B0%A9%20%28Rooftop%29</t>
        </is>
      </c>
      <c r="Q278" s="22" t="inlineStr">
        <is>
          <t>https://music.youtube.com/search?q=%EC%97%94%ED%94%8C%EB%9D%BC%EC%9E%89%20%EC%98%A5%ED%83%91%EB%B0%A9%20%28Rooftop%29</t>
        </is>
      </c>
    </row>
    <row r="279" ht="15" customHeight="1" s="17">
      <c r="A279" s="21" t="inlineStr">
        <is>
          <t>S278</t>
        </is>
      </c>
      <c r="B279" s="25" t="inlineStr">
        <is>
          <t>전유동</t>
        </is>
      </c>
      <c r="C279" s="25" t="inlineStr">
        <is>
          <t>잔나비</t>
        </is>
      </c>
      <c r="D279" s="23" t="inlineStr">
        <is>
          <t>2019</t>
        </is>
      </c>
      <c r="E279" s="24" t="inlineStr">
        <is>
          <t>설렘두근</t>
        </is>
      </c>
      <c r="F279" s="25" t="inlineStr">
        <is>
          <t>밤바다</t>
        </is>
      </c>
      <c r="G279" s="24" t="inlineStr">
        <is>
          <t>밴드</t>
        </is>
      </c>
      <c r="H279" s="22" t="n"/>
      <c r="I279" s="22">
        <f>IF($H427="","","https://youtu.be/"&amp;$H427)</f>
        <v/>
      </c>
      <c r="J279" s="22">
        <f>IF($H427="","","https://music.youtube.com/watch?v="&amp;$H427)</f>
        <v/>
      </c>
      <c r="K279" s="22">
        <f>IF($H427="","","https://img.youtube.com/vi/"&amp;$H427&amp;"/hqdefault.jpg")</f>
        <v/>
      </c>
      <c r="L279" s="24" t="inlineStr">
        <is>
          <t>확인필요</t>
        </is>
      </c>
      <c r="M279" s="21" t="inlineStr">
        <is>
          <t>N</t>
        </is>
      </c>
      <c r="N279" s="24" t="inlineStr">
        <is>
          <t>높음</t>
        </is>
      </c>
      <c r="O279" s="25" t="inlineStr">
        <is>
          <t>씨앗(검증 전)</t>
        </is>
      </c>
      <c r="P279" s="22" t="inlineStr">
        <is>
          <t>https://www.youtube.com/results?search_query=%EC%9E%94%EB%82%98%EB%B9%84%20%EC%A0%84%EC%9C%A0%EB%8F%99</t>
        </is>
      </c>
      <c r="Q279" s="22" t="inlineStr">
        <is>
          <t>https://music.youtube.com/search?q=%EC%9E%94%EB%82%98%EB%B9%84%20%EC%A0%84%EC%9C%A0%EB%8F%99</t>
        </is>
      </c>
    </row>
    <row r="280" ht="15" customHeight="1" s="17">
      <c r="A280" s="21" t="inlineStr">
        <is>
          <t>S279</t>
        </is>
      </c>
      <c r="B280" s="25" t="inlineStr">
        <is>
          <t>젊은 우리 사랑</t>
        </is>
      </c>
      <c r="C280" s="25" t="inlineStr">
        <is>
          <t>검정치마</t>
        </is>
      </c>
      <c r="D280" s="23" t="inlineStr">
        <is>
          <t>2019</t>
        </is>
      </c>
      <c r="E280" s="24" t="inlineStr">
        <is>
          <t>설렘두근</t>
        </is>
      </c>
      <c r="F280" s="25" t="inlineStr">
        <is>
          <t>밤바다</t>
        </is>
      </c>
      <c r="G280" s="24" t="inlineStr">
        <is>
          <t>밴드</t>
        </is>
      </c>
      <c r="H280" s="22" t="n"/>
      <c r="I280" s="22">
        <f>IF($H428="","","https://youtu.be/"&amp;$H428)</f>
        <v/>
      </c>
      <c r="J280" s="22">
        <f>IF($H428="","","https://music.youtube.com/watch?v="&amp;$H428)</f>
        <v/>
      </c>
      <c r="K280" s="22">
        <f>IF($H428="","","https://img.youtube.com/vi/"&amp;$H428&amp;"/hqdefault.jpg")</f>
        <v/>
      </c>
      <c r="L280" s="24" t="inlineStr">
        <is>
          <t>확인필요</t>
        </is>
      </c>
      <c r="M280" s="21" t="inlineStr">
        <is>
          <t>N</t>
        </is>
      </c>
      <c r="N280" s="24" t="inlineStr">
        <is>
          <t>높음</t>
        </is>
      </c>
      <c r="O280" s="25" t="inlineStr">
        <is>
          <t>씨앗(검증 전)</t>
        </is>
      </c>
      <c r="P280" s="22" t="inlineStr">
        <is>
          <t>https://www.youtube.com/results?search_query=%EA%B2%80%EC%A0%95%EC%B9%98%EB%A7%88%20%EC%A0%8A%EC%9D%80%20%EC%9A%B0%EB%A6%AC%20%EC%82%AC%EB%9E%91</t>
        </is>
      </c>
      <c r="Q280" s="22" t="inlineStr">
        <is>
          <t>https://music.youtube.com/search?q=%EA%B2%80%EC%A0%95%EC%B9%98%EB%A7%88%20%EC%A0%8A%EC%9D%80%20%EC%9A%B0%EB%A6%AC%20%EC%82%AC%EB%9E%91</t>
        </is>
      </c>
    </row>
    <row r="281" ht="15" customHeight="1" s="17">
      <c r="A281" s="21" t="inlineStr">
        <is>
          <t>S280</t>
        </is>
      </c>
      <c r="B281" s="22" t="inlineStr">
        <is>
          <t>Hey Sun</t>
        </is>
      </c>
      <c r="C281" s="25" t="inlineStr">
        <is>
          <t>혁오</t>
        </is>
      </c>
      <c r="D281" s="23" t="inlineStr">
        <is>
          <t>2020</t>
        </is>
      </c>
      <c r="E281" s="24" t="inlineStr">
        <is>
          <t>센치감성</t>
        </is>
      </c>
      <c r="F281" s="25" t="inlineStr">
        <is>
          <t>밤바다</t>
        </is>
      </c>
      <c r="G281" s="24" t="inlineStr">
        <is>
          <t>밴드</t>
        </is>
      </c>
      <c r="H281" s="22" t="n"/>
      <c r="I281" s="22">
        <f>IF($H441="","","https://youtu.be/"&amp;$H441)</f>
        <v/>
      </c>
      <c r="J281" s="22">
        <f>IF($H441="","","https://music.youtube.com/watch?v="&amp;$H441)</f>
        <v/>
      </c>
      <c r="K281" s="22">
        <f>IF($H441="","","https://img.youtube.com/vi/"&amp;$H441&amp;"/hqdefault.jpg")</f>
        <v/>
      </c>
      <c r="L281" s="24" t="inlineStr">
        <is>
          <t>확인필요</t>
        </is>
      </c>
      <c r="M281" s="21" t="inlineStr">
        <is>
          <t>N</t>
        </is>
      </c>
      <c r="N281" s="24" t="inlineStr">
        <is>
          <t>높음</t>
        </is>
      </c>
      <c r="O281" s="25" t="inlineStr">
        <is>
          <t>씨앗(검증 전)</t>
        </is>
      </c>
      <c r="P281" s="22" t="inlineStr">
        <is>
          <t>https://www.youtube.com/results?search_query=%ED%98%81%EC%98%A4%20Hey%20Sun</t>
        </is>
      </c>
      <c r="Q281" s="22" t="inlineStr">
        <is>
          <t>https://music.youtube.com/search?q=%ED%98%81%EC%98%A4%20Hey%20Sun</t>
        </is>
      </c>
    </row>
    <row r="282" ht="15" customHeight="1" s="17">
      <c r="A282" s="21" t="inlineStr">
        <is>
          <t>S281</t>
        </is>
      </c>
      <c r="B282" s="25" t="inlineStr">
        <is>
          <t>자유</t>
        </is>
      </c>
      <c r="C282" s="25" t="inlineStr">
        <is>
          <t>새소년</t>
        </is>
      </c>
      <c r="D282" s="23" t="inlineStr">
        <is>
          <t>2020</t>
        </is>
      </c>
      <c r="E282" s="24" t="inlineStr">
        <is>
          <t>센치감성</t>
        </is>
      </c>
      <c r="F282" s="25" t="inlineStr">
        <is>
          <t>밤바다</t>
        </is>
      </c>
      <c r="G282" s="24" t="inlineStr">
        <is>
          <t>밴드</t>
        </is>
      </c>
      <c r="H282" s="22" t="n"/>
      <c r="I282" s="22">
        <f>IF($H442="","","https://youtu.be/"&amp;$H442)</f>
        <v/>
      </c>
      <c r="J282" s="22">
        <f>IF($H442="","","https://music.youtube.com/watch?v="&amp;$H442)</f>
        <v/>
      </c>
      <c r="K282" s="22">
        <f>IF($H442="","","https://img.youtube.com/vi/"&amp;$H442&amp;"/hqdefault.jpg")</f>
        <v/>
      </c>
      <c r="L282" s="24" t="inlineStr">
        <is>
          <t>확인필요</t>
        </is>
      </c>
      <c r="M282" s="21" t="inlineStr">
        <is>
          <t>N</t>
        </is>
      </c>
      <c r="N282" s="24" t="inlineStr">
        <is>
          <t>높음</t>
        </is>
      </c>
      <c r="O282" s="25" t="inlineStr">
        <is>
          <t>씨앗(검증 전)</t>
        </is>
      </c>
      <c r="P282" s="22" t="inlineStr">
        <is>
          <t>https://www.youtube.com/results?search_query=%EC%83%88%EC%86%8C%EB%85%84%20%EC%9E%90%EC%9C%A0</t>
        </is>
      </c>
      <c r="Q282" s="22" t="inlineStr">
        <is>
          <t>https://music.youtube.com/search?q=%EC%83%88%EC%86%8C%EB%85%84%20%EC%9E%90%EC%9C%A0</t>
        </is>
      </c>
    </row>
    <row r="283" ht="15" customHeight="1" s="17">
      <c r="A283" s="21" t="inlineStr">
        <is>
          <t>S282</t>
        </is>
      </c>
      <c r="B283" s="25" t="inlineStr">
        <is>
          <t>집에 가는 길</t>
        </is>
      </c>
      <c r="C283" s="25" t="inlineStr">
        <is>
          <t>새소년</t>
        </is>
      </c>
      <c r="D283" s="23" t="inlineStr">
        <is>
          <t>2020</t>
        </is>
      </c>
      <c r="E283" s="24" t="inlineStr">
        <is>
          <t>센치감성</t>
        </is>
      </c>
      <c r="F283" s="25" t="inlineStr">
        <is>
          <t>밤바다</t>
        </is>
      </c>
      <c r="G283" s="24" t="inlineStr">
        <is>
          <t>밴드</t>
        </is>
      </c>
      <c r="H283" s="22" t="n"/>
      <c r="I283" s="22">
        <f>IF($H443="","","https://youtu.be/"&amp;$H443)</f>
        <v/>
      </c>
      <c r="J283" s="22">
        <f>IF($H443="","","https://music.youtube.com/watch?v="&amp;$H443)</f>
        <v/>
      </c>
      <c r="K283" s="22">
        <f>IF($H443="","","https://img.youtube.com/vi/"&amp;$H443&amp;"/hqdefault.jpg")</f>
        <v/>
      </c>
      <c r="L283" s="24" t="inlineStr">
        <is>
          <t>확인필요</t>
        </is>
      </c>
      <c r="M283" s="21" t="inlineStr">
        <is>
          <t>N</t>
        </is>
      </c>
      <c r="N283" s="24" t="inlineStr">
        <is>
          <t>높음</t>
        </is>
      </c>
      <c r="O283" s="25" t="inlineStr">
        <is>
          <t>씨앗(검증 전)</t>
        </is>
      </c>
      <c r="P283" s="22" t="inlineStr">
        <is>
          <t>https://www.youtube.com/results?search_query=%EC%83%88%EC%86%8C%EB%85%84%20%EC%A7%91%EC%97%90%20%EA%B0%80%EB%8A%94%20%EA%B8%B8</t>
        </is>
      </c>
      <c r="Q283" s="22" t="inlineStr">
        <is>
          <t>https://music.youtube.com/search?q=%EC%83%88%EC%86%8C%EB%85%84%20%EC%A7%91%EC%97%90%20%EA%B0%80%EB%8A%94%20%EA%B8%B8</t>
        </is>
      </c>
    </row>
    <row r="284" ht="15" customHeight="1" s="17">
      <c r="A284" s="21" t="inlineStr">
        <is>
          <t>S283</t>
        </is>
      </c>
      <c r="B284" s="22" t="inlineStr">
        <is>
          <t>Everything</t>
        </is>
      </c>
      <c r="C284" s="25" t="inlineStr">
        <is>
          <t>검정치마</t>
        </is>
      </c>
      <c r="D284" s="23" t="inlineStr">
        <is>
          <t>2019</t>
        </is>
      </c>
      <c r="E284" s="24" t="inlineStr">
        <is>
          <t>센치감성</t>
        </is>
      </c>
      <c r="F284" s="25" t="inlineStr">
        <is>
          <t>밤바다</t>
        </is>
      </c>
      <c r="G284" s="24" t="inlineStr">
        <is>
          <t>밴드</t>
        </is>
      </c>
      <c r="H284" s="22" t="n"/>
      <c r="I284" s="22">
        <f>IF($H444="","","https://youtu.be/"&amp;$H444)</f>
        <v/>
      </c>
      <c r="J284" s="22">
        <f>IF($H444="","","https://music.youtube.com/watch?v="&amp;$H444)</f>
        <v/>
      </c>
      <c r="K284" s="22">
        <f>IF($H444="","","https://img.youtube.com/vi/"&amp;$H444&amp;"/hqdefault.jpg")</f>
        <v/>
      </c>
      <c r="L284" s="24" t="inlineStr">
        <is>
          <t>확인필요</t>
        </is>
      </c>
      <c r="M284" s="21" t="inlineStr">
        <is>
          <t>N</t>
        </is>
      </c>
      <c r="N284" s="24" t="inlineStr">
        <is>
          <t>높음</t>
        </is>
      </c>
      <c r="O284" s="25" t="inlineStr">
        <is>
          <t>씨앗(검증 전)</t>
        </is>
      </c>
      <c r="P284" s="22" t="inlineStr">
        <is>
          <t>https://www.youtube.com/results?search_query=%EA%B2%80%EC%A0%95%EC%B9%98%EB%A7%88%20Everything</t>
        </is>
      </c>
      <c r="Q284" s="22" t="inlineStr">
        <is>
          <t>https://music.youtube.com/search?q=%EA%B2%80%EC%A0%95%EC%B9%98%EB%A7%88%20Everything</t>
        </is>
      </c>
    </row>
    <row r="285" ht="15" customHeight="1" s="17">
      <c r="A285" s="21" t="inlineStr">
        <is>
          <t>S284</t>
        </is>
      </c>
      <c r="B285" s="25" t="inlineStr">
        <is>
          <t>아프더라도</t>
        </is>
      </c>
      <c r="C285" s="22" t="inlineStr">
        <is>
          <t>DAY6</t>
        </is>
      </c>
      <c r="D285" s="23" t="inlineStr">
        <is>
          <t>2019</t>
        </is>
      </c>
      <c r="E285" s="24" t="inlineStr">
        <is>
          <t>센치감성</t>
        </is>
      </c>
      <c r="F285" s="25" t="inlineStr">
        <is>
          <t>밤바다</t>
        </is>
      </c>
      <c r="G285" s="24" t="inlineStr">
        <is>
          <t>밴드</t>
        </is>
      </c>
      <c r="H285" s="22" t="n"/>
      <c r="I285" s="22">
        <f>IF($H445="","","https://youtu.be/"&amp;$H445)</f>
        <v/>
      </c>
      <c r="J285" s="22">
        <f>IF($H445="","","https://music.youtube.com/watch?v="&amp;$H445)</f>
        <v/>
      </c>
      <c r="K285" s="22">
        <f>IF($H445="","","https://img.youtube.com/vi/"&amp;$H445&amp;"/hqdefault.jpg")</f>
        <v/>
      </c>
      <c r="L285" s="24" t="inlineStr">
        <is>
          <t>확인필요</t>
        </is>
      </c>
      <c r="M285" s="21" t="inlineStr">
        <is>
          <t>N</t>
        </is>
      </c>
      <c r="N285" s="24" t="inlineStr">
        <is>
          <t>높음</t>
        </is>
      </c>
      <c r="O285" s="25" t="inlineStr">
        <is>
          <t>씨앗(검증 전)</t>
        </is>
      </c>
      <c r="P285" s="22" t="inlineStr">
        <is>
          <t>https://www.youtube.com/results?search_query=DAY6%20%EC%95%84%ED%94%84%EB%8D%94%EB%9D%BC%EB%8F%84</t>
        </is>
      </c>
      <c r="Q285" s="22" t="inlineStr">
        <is>
          <t>https://music.youtube.com/search?q=DAY6%20%EC%95%84%ED%94%84%EB%8D%94%EB%9D%BC%EB%8F%84</t>
        </is>
      </c>
    </row>
    <row r="286" ht="15" customHeight="1" s="17">
      <c r="A286" s="21" t="inlineStr">
        <is>
          <t>S285</t>
        </is>
      </c>
      <c r="B286" s="25" t="inlineStr">
        <is>
          <t>주저하는 연인들을 위해</t>
        </is>
      </c>
      <c r="C286" s="25" t="inlineStr">
        <is>
          <t>잔나비</t>
        </is>
      </c>
      <c r="D286" s="23" t="inlineStr">
        <is>
          <t>2019</t>
        </is>
      </c>
      <c r="E286" s="24" t="inlineStr">
        <is>
          <t>센치감성</t>
        </is>
      </c>
      <c r="F286" s="25" t="inlineStr">
        <is>
          <t>밤바다</t>
        </is>
      </c>
      <c r="G286" s="24" t="inlineStr">
        <is>
          <t>밴드</t>
        </is>
      </c>
      <c r="H286" s="22" t="n"/>
      <c r="I286" s="22">
        <f>IF($H446="","","https://youtu.be/"&amp;$H446)</f>
        <v/>
      </c>
      <c r="J286" s="22">
        <f>IF($H446="","","https://music.youtube.com/watch?v="&amp;$H446)</f>
        <v/>
      </c>
      <c r="K286" s="22">
        <f>IF($H446="","","https://img.youtube.com/vi/"&amp;$H446&amp;"/hqdefault.jpg")</f>
        <v/>
      </c>
      <c r="L286" s="24" t="inlineStr">
        <is>
          <t>확인필요</t>
        </is>
      </c>
      <c r="M286" s="21" t="inlineStr">
        <is>
          <t>N</t>
        </is>
      </c>
      <c r="N286" s="24" t="inlineStr">
        <is>
          <t>높음</t>
        </is>
      </c>
      <c r="O286" s="25" t="inlineStr">
        <is>
          <t>씨앗(검증 전)</t>
        </is>
      </c>
      <c r="P286" s="22" t="inlineStr">
        <is>
          <t>https://www.youtube.com/results?search_query=%EC%9E%94%EB%82%98%EB%B9%84%20%EC%A3%BC%EC%A0%80%ED%95%98%EB%8A%94%20%EC%97%B0%EC%9D%B8%EB%93%A4%EC%9D%84%20%EC%9C%84%ED%95%B4</t>
        </is>
      </c>
      <c r="Q286" s="22" t="inlineStr">
        <is>
          <t>https://music.youtube.com/search?q=%EC%9E%94%EB%82%98%EB%B9%84%20%EC%A3%BC%EC%A0%80%ED%95%98%EB%8A%94%20%EC%97%B0%EC%9D%B8%EB%93%A4%EC%9D%84%20%EC%9C%84%ED%95%B4</t>
        </is>
      </c>
    </row>
    <row r="287" ht="15" customHeight="1" s="17">
      <c r="A287" s="21" t="inlineStr">
        <is>
          <t>S286</t>
        </is>
      </c>
      <c r="B287" s="25" t="inlineStr">
        <is>
          <t>그게 아니고</t>
        </is>
      </c>
      <c r="C287" s="25" t="inlineStr">
        <is>
          <t>십센치</t>
        </is>
      </c>
      <c r="D287" s="23" t="inlineStr">
        <is>
          <t>2018</t>
        </is>
      </c>
      <c r="E287" s="24" t="inlineStr">
        <is>
          <t>센치감성</t>
        </is>
      </c>
      <c r="F287" s="25" t="inlineStr">
        <is>
          <t>밤바다</t>
        </is>
      </c>
      <c r="G287" s="24" t="inlineStr">
        <is>
          <t>밴드</t>
        </is>
      </c>
      <c r="H287" s="22" t="n"/>
      <c r="I287" s="22">
        <f>IF($H447="","","https://youtu.be/"&amp;$H447)</f>
        <v/>
      </c>
      <c r="J287" s="22">
        <f>IF($H447="","","https://music.youtube.com/watch?v="&amp;$H447)</f>
        <v/>
      </c>
      <c r="K287" s="22">
        <f>IF($H447="","","https://img.youtube.com/vi/"&amp;$H447&amp;"/hqdefault.jpg")</f>
        <v/>
      </c>
      <c r="L287" s="24" t="inlineStr">
        <is>
          <t>확인필요</t>
        </is>
      </c>
      <c r="M287" s="21" t="inlineStr">
        <is>
          <t>N</t>
        </is>
      </c>
      <c r="N287" s="24" t="inlineStr">
        <is>
          <t>높음</t>
        </is>
      </c>
      <c r="O287" s="25" t="inlineStr">
        <is>
          <t>씨앗(검증 전)</t>
        </is>
      </c>
      <c r="P287" s="22" t="inlineStr">
        <is>
          <t>https://www.youtube.com/results?search_query=%EC%8B%AD%EC%84%BC%EC%B9%98%20%EA%B7%B8%EA%B2%8C%20%EC%95%84%EB%8B%88%EA%B3%A0</t>
        </is>
      </c>
      <c r="Q287" s="22" t="inlineStr">
        <is>
          <t>https://music.youtube.com/search?q=%EC%8B%AD%EC%84%BC%EC%B9%98%20%EA%B7%B8%EA%B2%8C%20%EC%95%84%EB%8B%88%EA%B3%A0</t>
        </is>
      </c>
    </row>
    <row r="288" ht="15" customHeight="1" s="17">
      <c r="A288" s="21" t="inlineStr">
        <is>
          <t>S287</t>
        </is>
      </c>
      <c r="B288" s="25" t="inlineStr">
        <is>
          <t>난춘</t>
        </is>
      </c>
      <c r="C288" s="25" t="inlineStr">
        <is>
          <t>새소년</t>
        </is>
      </c>
      <c r="D288" s="23" t="inlineStr">
        <is>
          <t>2018</t>
        </is>
      </c>
      <c r="E288" s="24" t="inlineStr">
        <is>
          <t>센치감성</t>
        </is>
      </c>
      <c r="F288" s="25" t="inlineStr">
        <is>
          <t>밤바다</t>
        </is>
      </c>
      <c r="G288" s="24" t="inlineStr">
        <is>
          <t>밴드</t>
        </is>
      </c>
      <c r="H288" s="22" t="n"/>
      <c r="I288" s="22">
        <f>IF($H448="","","https://youtu.be/"&amp;$H448)</f>
        <v/>
      </c>
      <c r="J288" s="22">
        <f>IF($H448="","","https://music.youtube.com/watch?v="&amp;$H448)</f>
        <v/>
      </c>
      <c r="K288" s="22">
        <f>IF($H448="","","https://img.youtube.com/vi/"&amp;$H448&amp;"/hqdefault.jpg")</f>
        <v/>
      </c>
      <c r="L288" s="24" t="inlineStr">
        <is>
          <t>확인필요</t>
        </is>
      </c>
      <c r="M288" s="21" t="inlineStr">
        <is>
          <t>N</t>
        </is>
      </c>
      <c r="N288" s="24" t="inlineStr">
        <is>
          <t>높음</t>
        </is>
      </c>
      <c r="O288" s="25" t="inlineStr">
        <is>
          <t>씨앗(검증 전)</t>
        </is>
      </c>
      <c r="P288" s="22" t="inlineStr">
        <is>
          <t>https://www.youtube.com/results?search_query=%EC%83%88%EC%86%8C%EB%85%84%20%EB%82%9C%EC%B6%98</t>
        </is>
      </c>
      <c r="Q288" s="22" t="inlineStr">
        <is>
          <t>https://music.youtube.com/search?q=%EC%83%88%EC%86%8C%EB%85%84%20%EB%82%9C%EC%B6%98</t>
        </is>
      </c>
    </row>
    <row r="289" ht="15" customHeight="1" s="17">
      <c r="A289" s="21" t="inlineStr">
        <is>
          <t>S288</t>
        </is>
      </c>
      <c r="B289" s="22" t="inlineStr">
        <is>
          <t>Love Lee</t>
        </is>
      </c>
      <c r="C289" s="25" t="inlineStr">
        <is>
          <t>악뮤</t>
        </is>
      </c>
      <c r="D289" s="23" t="inlineStr">
        <is>
          <t>2023</t>
        </is>
      </c>
      <c r="E289" s="24" t="inlineStr">
        <is>
          <t>상큼발랄</t>
        </is>
      </c>
      <c r="F289" s="25" t="inlineStr">
        <is>
          <t>바다</t>
        </is>
      </c>
      <c r="G289" s="24" t="inlineStr">
        <is>
          <t>그룹</t>
        </is>
      </c>
      <c r="H289" s="22" t="n"/>
      <c r="I289" s="22">
        <f>IF($H459="","","https://youtu.be/"&amp;$H459)</f>
        <v/>
      </c>
      <c r="J289" s="22">
        <f>IF($H459="","","https://music.youtube.com/watch?v="&amp;$H459)</f>
        <v/>
      </c>
      <c r="K289" s="22">
        <f>IF($H459="","","https://img.youtube.com/vi/"&amp;$H459&amp;"/hqdefault.jpg")</f>
        <v/>
      </c>
      <c r="L289" s="24" t="inlineStr">
        <is>
          <t>확인필요</t>
        </is>
      </c>
      <c r="M289" s="21" t="inlineStr">
        <is>
          <t>N</t>
        </is>
      </c>
      <c r="N289" s="24" t="inlineStr">
        <is>
          <t>높음</t>
        </is>
      </c>
      <c r="O289" s="25" t="inlineStr">
        <is>
          <t>씨앗(검증 전)</t>
        </is>
      </c>
      <c r="P289" s="22" t="inlineStr">
        <is>
          <t>https://www.youtube.com/results?search_query=%EC%95%85%EB%AE%A4%20Love%20Lee</t>
        </is>
      </c>
      <c r="Q289" s="22" t="inlineStr">
        <is>
          <t>https://music.youtube.com/search?q=%EC%95%85%EB%AE%A4%20Love%20Lee</t>
        </is>
      </c>
    </row>
    <row r="290" ht="15" customHeight="1" s="17">
      <c r="A290" s="21" t="inlineStr">
        <is>
          <t>S289</t>
        </is>
      </c>
      <c r="B290" s="22" t="inlineStr">
        <is>
          <t>Together</t>
        </is>
      </c>
      <c r="C290" s="25" t="inlineStr">
        <is>
          <t>코요태</t>
        </is>
      </c>
      <c r="D290" s="23" t="inlineStr">
        <is>
          <t>2020</t>
        </is>
      </c>
      <c r="E290" s="24" t="inlineStr">
        <is>
          <t>청량시원</t>
        </is>
      </c>
      <c r="F290" s="25" t="inlineStr">
        <is>
          <t>바다</t>
        </is>
      </c>
      <c r="G290" s="24" t="inlineStr">
        <is>
          <t>그룹</t>
        </is>
      </c>
      <c r="H290" s="22" t="n"/>
      <c r="I290" s="22">
        <f>IF($H464="","","https://youtu.be/"&amp;$H464)</f>
        <v/>
      </c>
      <c r="J290" s="22">
        <f>IF($H464="","","https://music.youtube.com/watch?v="&amp;$H464)</f>
        <v/>
      </c>
      <c r="K290" s="22">
        <f>IF($H464="","","https://img.youtube.com/vi/"&amp;$H464&amp;"/hqdefault.jpg")</f>
        <v/>
      </c>
      <c r="L290" s="24" t="inlineStr">
        <is>
          <t>확인필요</t>
        </is>
      </c>
      <c r="M290" s="21" t="inlineStr">
        <is>
          <t>N</t>
        </is>
      </c>
      <c r="N290" s="24" t="inlineStr">
        <is>
          <t>높음</t>
        </is>
      </c>
      <c r="O290" s="25" t="inlineStr">
        <is>
          <t>씨앗(검증 전)</t>
        </is>
      </c>
      <c r="P290" s="22" t="inlineStr">
        <is>
          <t>https://www.youtube.com/results?search_query=%EC%BD%94%EC%9A%94%ED%83%9C%20Together</t>
        </is>
      </c>
      <c r="Q290" s="22" t="inlineStr">
        <is>
          <t>https://music.youtube.com/search?q=%EC%BD%94%EC%9A%94%ED%83%9C%20Together</t>
        </is>
      </c>
    </row>
    <row r="291" ht="15" customHeight="1" s="17">
      <c r="A291" s="21" t="inlineStr">
        <is>
          <t>S290</t>
        </is>
      </c>
      <c r="B291" s="25" t="inlineStr">
        <is>
          <t>다시 여기 바닷가</t>
        </is>
      </c>
      <c r="C291" s="25" t="inlineStr">
        <is>
          <t>싹쓰리</t>
        </is>
      </c>
      <c r="D291" s="23" t="inlineStr">
        <is>
          <t>2020</t>
        </is>
      </c>
      <c r="E291" s="24" t="inlineStr">
        <is>
          <t>청량시원</t>
        </is>
      </c>
      <c r="F291" s="25" t="inlineStr">
        <is>
          <t>바다, 드라이브</t>
        </is>
      </c>
      <c r="G291" s="24" t="inlineStr">
        <is>
          <t>그룹</t>
        </is>
      </c>
      <c r="H291" s="22" t="n"/>
      <c r="I291" s="22">
        <f>IF($H465="","","https://youtu.be/"&amp;$H465)</f>
        <v/>
      </c>
      <c r="J291" s="22">
        <f>IF($H465="","","https://music.youtube.com/watch?v="&amp;$H465)</f>
        <v/>
      </c>
      <c r="K291" s="22">
        <f>IF($H465="","","https://img.youtube.com/vi/"&amp;$H465&amp;"/hqdefault.jpg")</f>
        <v/>
      </c>
      <c r="L291" s="24" t="inlineStr">
        <is>
          <t>확인필요</t>
        </is>
      </c>
      <c r="M291" s="21" t="inlineStr">
        <is>
          <t>N</t>
        </is>
      </c>
      <c r="N291" s="24" t="inlineStr">
        <is>
          <t>높음</t>
        </is>
      </c>
      <c r="O291" s="25" t="inlineStr">
        <is>
          <t>씨앗(검증 전)</t>
        </is>
      </c>
      <c r="P291" s="22" t="inlineStr">
        <is>
          <t>https://www.youtube.com/results?search_query=%EC%8B%B9%EC%93%B0%EB%A6%AC%20%EB%8B%A4%EC%8B%9C%20%EC%97%AC%EA%B8%B0%20%EB%B0%94%EB%8B%B7%EA%B0%80</t>
        </is>
      </c>
      <c r="Q291" s="22" t="inlineStr">
        <is>
          <t>https://music.youtube.com/search?q=%EC%8B%B9%EC%93%B0%EB%A6%AC%20%EB%8B%A4%EC%8B%9C%20%EC%97%AC%EA%B8%B0%20%EB%B0%94%EB%8B%B7%EA%B0%80</t>
        </is>
      </c>
    </row>
    <row r="292" ht="15" customHeight="1" s="17">
      <c r="A292" s="21" t="inlineStr">
        <is>
          <t>S291</t>
        </is>
      </c>
      <c r="B292" s="25" t="inlineStr">
        <is>
          <t>사랑인가 봐</t>
        </is>
      </c>
      <c r="C292" s="25" t="inlineStr">
        <is>
          <t>멜로망스</t>
        </is>
      </c>
      <c r="D292" s="23" t="inlineStr">
        <is>
          <t>2022</t>
        </is>
      </c>
      <c r="E292" s="24" t="inlineStr">
        <is>
          <t>설렘두근</t>
        </is>
      </c>
      <c r="F292" s="25" t="inlineStr">
        <is>
          <t>밤바다</t>
        </is>
      </c>
      <c r="G292" s="24" t="inlineStr">
        <is>
          <t>그룹</t>
        </is>
      </c>
      <c r="H292" s="22" t="n"/>
      <c r="I292" s="22">
        <f>IF($H468="","","https://youtu.be/"&amp;$H468)</f>
        <v/>
      </c>
      <c r="J292" s="22">
        <f>IF($H468="","","https://music.youtube.com/watch?v="&amp;$H468)</f>
        <v/>
      </c>
      <c r="K292" s="22">
        <f>IF($H468="","","https://img.youtube.com/vi/"&amp;$H468&amp;"/hqdefault.jpg")</f>
        <v/>
      </c>
      <c r="L292" s="24" t="inlineStr">
        <is>
          <t>확인필요</t>
        </is>
      </c>
      <c r="M292" s="21" t="inlineStr">
        <is>
          <t>N</t>
        </is>
      </c>
      <c r="N292" s="24" t="inlineStr">
        <is>
          <t>높음</t>
        </is>
      </c>
      <c r="O292" s="25" t="inlineStr">
        <is>
          <t>씨앗(검증 전)</t>
        </is>
      </c>
      <c r="P292" s="22" t="inlineStr">
        <is>
          <t>https://www.youtube.com/results?search_query=%EB%A9%9C%EB%A1%9C%EB%A7%9D%EC%8A%A4%20%EC%82%AC%EB%9E%91%EC%9D%B8%EA%B0%80%20%EB%B4%90</t>
        </is>
      </c>
      <c r="Q292" s="22" t="inlineStr">
        <is>
          <t>https://music.youtube.com/search?q=%EB%A9%9C%EB%A1%9C%EB%A7%9D%EC%8A%A4%20%EC%82%AC%EB%9E%91%EC%9D%B8%EA%B0%80%20%EB%B4%90</t>
        </is>
      </c>
    </row>
    <row r="293" ht="15" customHeight="1" s="17">
      <c r="A293" s="21" t="inlineStr">
        <is>
          <t>S292</t>
        </is>
      </c>
      <c r="B293" s="22" t="inlineStr">
        <is>
          <t>You</t>
        </is>
      </c>
      <c r="C293" s="25" t="inlineStr">
        <is>
          <t>멜로망스</t>
        </is>
      </c>
      <c r="D293" s="23" t="inlineStr">
        <is>
          <t>2019</t>
        </is>
      </c>
      <c r="E293" s="24" t="inlineStr">
        <is>
          <t>설렘두근</t>
        </is>
      </c>
      <c r="F293" s="25" t="inlineStr">
        <is>
          <t>밤바다, 드라이브</t>
        </is>
      </c>
      <c r="G293" s="24" t="inlineStr">
        <is>
          <t>그룹</t>
        </is>
      </c>
      <c r="H293" s="22" t="n"/>
      <c r="I293" s="22">
        <f>IF($H469="","","https://youtu.be/"&amp;$H469)</f>
        <v/>
      </c>
      <c r="J293" s="22">
        <f>IF($H469="","","https://music.youtube.com/watch?v="&amp;$H469)</f>
        <v/>
      </c>
      <c r="K293" s="22">
        <f>IF($H469="","","https://img.youtube.com/vi/"&amp;$H469&amp;"/hqdefault.jpg")</f>
        <v/>
      </c>
      <c r="L293" s="24" t="inlineStr">
        <is>
          <t>확인필요</t>
        </is>
      </c>
      <c r="M293" s="21" t="inlineStr">
        <is>
          <t>N</t>
        </is>
      </c>
      <c r="N293" s="24" t="inlineStr">
        <is>
          <t>높음</t>
        </is>
      </c>
      <c r="O293" s="25" t="inlineStr">
        <is>
          <t>씨앗(검증 전)</t>
        </is>
      </c>
      <c r="P293" s="22" t="inlineStr">
        <is>
          <t>https://www.youtube.com/results?search_query=%EB%A9%9C%EB%A1%9C%EB%A7%9D%EC%8A%A4%20You</t>
        </is>
      </c>
      <c r="Q293" s="22" t="inlineStr">
        <is>
          <t>https://music.youtube.com/search?q=%EB%A9%9C%EB%A1%9C%EB%A7%9D%EC%8A%A4%20You</t>
        </is>
      </c>
    </row>
    <row r="294" ht="15" customHeight="1" s="17">
      <c r="A294" s="21" t="inlineStr">
        <is>
          <t>S293</t>
        </is>
      </c>
      <c r="B294" s="25" t="inlineStr">
        <is>
          <t>새삥 (Novel)</t>
        </is>
      </c>
      <c r="C294" s="25" t="inlineStr">
        <is>
          <t>지코</t>
        </is>
      </c>
      <c r="D294" s="23" t="inlineStr">
        <is>
          <t>2022</t>
        </is>
      </c>
      <c r="E294" s="24" t="inlineStr">
        <is>
          <t>상큼발랄</t>
        </is>
      </c>
      <c r="F294" s="25" t="inlineStr">
        <is>
          <t>바다, 드라이브</t>
        </is>
      </c>
      <c r="G294" s="24" t="inlineStr">
        <is>
          <t>힙합</t>
        </is>
      </c>
      <c r="H294" s="22" t="n"/>
      <c r="I294" s="22">
        <f>IF($H482="","","https://youtu.be/"&amp;$H482)</f>
        <v/>
      </c>
      <c r="J294" s="22">
        <f>IF($H482="","","https://music.youtube.com/watch?v="&amp;$H482)</f>
        <v/>
      </c>
      <c r="K294" s="22">
        <f>IF($H482="","","https://img.youtube.com/vi/"&amp;$H482&amp;"/hqdefault.jpg")</f>
        <v/>
      </c>
      <c r="L294" s="24" t="inlineStr">
        <is>
          <t>확인필요</t>
        </is>
      </c>
      <c r="M294" s="21" t="inlineStr">
        <is>
          <t>N</t>
        </is>
      </c>
      <c r="N294" s="24" t="inlineStr">
        <is>
          <t>높음</t>
        </is>
      </c>
      <c r="O294" s="25" t="inlineStr">
        <is>
          <t>씨앗(검증 전)</t>
        </is>
      </c>
      <c r="P294" s="22" t="inlineStr">
        <is>
          <t>https://www.youtube.com/results?search_query=%EC%A7%80%EC%BD%94%20%EC%83%88%EC%82%A5%20%28Novel%29</t>
        </is>
      </c>
      <c r="Q294" s="22" t="inlineStr">
        <is>
          <t>https://music.youtube.com/search?q=%EC%A7%80%EC%BD%94%20%EC%83%88%EC%82%A5%20%28Novel%29</t>
        </is>
      </c>
    </row>
    <row r="295" ht="15" customHeight="1" s="17">
      <c r="A295" s="21" t="inlineStr">
        <is>
          <t>S294</t>
        </is>
      </c>
      <c r="B295" s="22" t="inlineStr">
        <is>
          <t>METEOR</t>
        </is>
      </c>
      <c r="C295" s="25" t="inlineStr">
        <is>
          <t>창모</t>
        </is>
      </c>
      <c r="D295" s="23" t="inlineStr">
        <is>
          <t>2020</t>
        </is>
      </c>
      <c r="E295" s="24" t="inlineStr">
        <is>
          <t>청량시원</t>
        </is>
      </c>
      <c r="F295" s="25" t="inlineStr">
        <is>
          <t>바다, 드라이브</t>
        </is>
      </c>
      <c r="G295" s="24" t="inlineStr">
        <is>
          <t>힙합</t>
        </is>
      </c>
      <c r="H295" s="22" t="n"/>
      <c r="I295" s="22">
        <f>IF($H487="","","https://youtu.be/"&amp;$H487)</f>
        <v/>
      </c>
      <c r="J295" s="22">
        <f>IF($H487="","","https://music.youtube.com/watch?v="&amp;$H487)</f>
        <v/>
      </c>
      <c r="K295" s="22">
        <f>IF($H487="","","https://img.youtube.com/vi/"&amp;$H487&amp;"/hqdefault.jpg")</f>
        <v/>
      </c>
      <c r="L295" s="24" t="inlineStr">
        <is>
          <t>확인필요</t>
        </is>
      </c>
      <c r="M295" s="21" t="inlineStr">
        <is>
          <t>N</t>
        </is>
      </c>
      <c r="N295" s="24" t="inlineStr">
        <is>
          <t>높음</t>
        </is>
      </c>
      <c r="O295" s="25" t="inlineStr">
        <is>
          <t>씨앗(검증 전)</t>
        </is>
      </c>
      <c r="P295" s="22" t="inlineStr">
        <is>
          <t>https://www.youtube.com/results?search_query=%EC%B0%BD%EB%AA%A8%20METEOR</t>
        </is>
      </c>
      <c r="Q295" s="22" t="inlineStr">
        <is>
          <t>https://music.youtube.com/search?q=%EC%B0%BD%EB%AA%A8%20METEOR</t>
        </is>
      </c>
    </row>
    <row r="296" ht="15" customHeight="1" s="17">
      <c r="A296" s="21" t="inlineStr">
        <is>
          <t>S295</t>
        </is>
      </c>
      <c r="B296" s="22" t="inlineStr">
        <is>
          <t>Oasis</t>
        </is>
      </c>
      <c r="C296" s="25" t="inlineStr">
        <is>
          <t>크러쉬</t>
        </is>
      </c>
      <c r="D296" s="23" t="inlineStr">
        <is>
          <t>2020</t>
        </is>
      </c>
      <c r="E296" s="24" t="inlineStr">
        <is>
          <t>청량시원</t>
        </is>
      </c>
      <c r="F296" s="25" t="inlineStr">
        <is>
          <t>바다, 드라이브</t>
        </is>
      </c>
      <c r="G296" s="24" t="inlineStr">
        <is>
          <t>힙합</t>
        </is>
      </c>
      <c r="H296" s="22" t="n"/>
      <c r="I296" s="22">
        <f>IF($H488="","","https://youtu.be/"&amp;$H488)</f>
        <v/>
      </c>
      <c r="J296" s="22">
        <f>IF($H488="","","https://music.youtube.com/watch?v="&amp;$H488)</f>
        <v/>
      </c>
      <c r="K296" s="22">
        <f>IF($H488="","","https://img.youtube.com/vi/"&amp;$H488&amp;"/hqdefault.jpg")</f>
        <v/>
      </c>
      <c r="L296" s="24" t="inlineStr">
        <is>
          <t>확인필요</t>
        </is>
      </c>
      <c r="M296" s="21" t="inlineStr">
        <is>
          <t>N</t>
        </is>
      </c>
      <c r="N296" s="24" t="inlineStr">
        <is>
          <t>높음</t>
        </is>
      </c>
      <c r="O296" s="25" t="inlineStr">
        <is>
          <t>씨앗(검증 전)</t>
        </is>
      </c>
      <c r="P296" s="22" t="inlineStr">
        <is>
          <t>https://www.youtube.com/results?search_query=%ED%81%AC%EB%9F%AC%EC%89%AC%20Oasis</t>
        </is>
      </c>
      <c r="Q296" s="22" t="inlineStr">
        <is>
          <t>https://music.youtube.com/search?q=%ED%81%AC%EB%9F%AC%EC%89%AC%20Oasis</t>
        </is>
      </c>
    </row>
    <row r="297" ht="15" customHeight="1" s="17">
      <c r="A297" s="21" t="inlineStr">
        <is>
          <t>S296</t>
        </is>
      </c>
      <c r="B297" s="22" t="inlineStr">
        <is>
          <t>Nerdy Love</t>
        </is>
      </c>
      <c r="C297" s="22" t="inlineStr">
        <is>
          <t>pH-1</t>
        </is>
      </c>
      <c r="D297" s="23" t="inlineStr">
        <is>
          <t>2020</t>
        </is>
      </c>
      <c r="E297" s="24" t="inlineStr">
        <is>
          <t>설렘두근</t>
        </is>
      </c>
      <c r="F297" s="25" t="inlineStr">
        <is>
          <t>밤바다, 드라이브</t>
        </is>
      </c>
      <c r="G297" s="24" t="inlineStr">
        <is>
          <t>힙합</t>
        </is>
      </c>
      <c r="H297" s="22" t="n"/>
      <c r="I297" s="22">
        <f>IF($H502="","","https://youtu.be/"&amp;$H502)</f>
        <v/>
      </c>
      <c r="J297" s="22">
        <f>IF($H502="","","https://music.youtube.com/watch?v="&amp;$H502)</f>
        <v/>
      </c>
      <c r="K297" s="22">
        <f>IF($H502="","","https://img.youtube.com/vi/"&amp;$H502&amp;"/hqdefault.jpg")</f>
        <v/>
      </c>
      <c r="L297" s="24" t="inlineStr">
        <is>
          <t>확인필요</t>
        </is>
      </c>
      <c r="M297" s="21" t="inlineStr">
        <is>
          <t>N</t>
        </is>
      </c>
      <c r="N297" s="24" t="inlineStr">
        <is>
          <t>높음</t>
        </is>
      </c>
      <c r="O297" s="25" t="inlineStr">
        <is>
          <t>씨앗(검증 전)</t>
        </is>
      </c>
      <c r="P297" s="22" t="inlineStr">
        <is>
          <t>https://www.youtube.com/results?search_query=pH-1%20Nerdy%20Love</t>
        </is>
      </c>
      <c r="Q297" s="22" t="inlineStr">
        <is>
          <t>https://music.youtube.com/search?q=pH-1%20Nerdy%20Love</t>
        </is>
      </c>
    </row>
    <row r="298" ht="15" customHeight="1" s="17">
      <c r="A298" s="21" t="inlineStr">
        <is>
          <t>S297</t>
        </is>
      </c>
      <c r="B298" s="25" t="inlineStr">
        <is>
          <t>헤픈 우연</t>
        </is>
      </c>
      <c r="C298" s="25" t="inlineStr">
        <is>
          <t>헤이즈</t>
        </is>
      </c>
      <c r="D298" s="23" t="inlineStr">
        <is>
          <t>2020</t>
        </is>
      </c>
      <c r="E298" s="24" t="inlineStr">
        <is>
          <t>센치감성</t>
        </is>
      </c>
      <c r="F298" s="25" t="inlineStr">
        <is>
          <t>밤바다</t>
        </is>
      </c>
      <c r="G298" s="24" t="inlineStr">
        <is>
          <t>힙합</t>
        </is>
      </c>
      <c r="H298" s="22" t="n"/>
      <c r="I298" s="22">
        <f>IF($H504="","","https://youtu.be/"&amp;$H504)</f>
        <v/>
      </c>
      <c r="J298" s="22">
        <f>IF($H504="","","https://music.youtube.com/watch?v="&amp;$H504)</f>
        <v/>
      </c>
      <c r="K298" s="22">
        <f>IF($H504="","","https://img.youtube.com/vi/"&amp;$H504&amp;"/hqdefault.jpg")</f>
        <v/>
      </c>
      <c r="L298" s="24" t="inlineStr">
        <is>
          <t>확인필요</t>
        </is>
      </c>
      <c r="M298" s="21" t="inlineStr">
        <is>
          <t>N</t>
        </is>
      </c>
      <c r="N298" s="24" t="inlineStr">
        <is>
          <t>높음</t>
        </is>
      </c>
      <c r="O298" s="25" t="inlineStr">
        <is>
          <t>씨앗(검증 전)</t>
        </is>
      </c>
      <c r="P298" s="22" t="inlineStr">
        <is>
          <t>https://www.youtube.com/results?search_query=%ED%97%A4%EC%9D%B4%EC%A6%88%20%ED%97%A4%ED%94%88%20%EC%9A%B0%EC%97%B0</t>
        </is>
      </c>
      <c r="Q298" s="22" t="inlineStr">
        <is>
          <t>https://music.youtube.com/search?q=%ED%97%A4%EC%9D%B4%EC%A6%88%20%ED%97%A4%ED%94%88%20%EC%9A%B0%EC%97%B0</t>
        </is>
      </c>
    </row>
    <row r="299" ht="15" customHeight="1" s="17">
      <c r="A299" s="21" t="inlineStr">
        <is>
          <t>S298</t>
        </is>
      </c>
      <c r="B299" s="25" t="inlineStr">
        <is>
          <t>비 오는 날 듣기 좋은 노래</t>
        </is>
      </c>
      <c r="C299" s="25" t="inlineStr">
        <is>
          <t>에픽하이</t>
        </is>
      </c>
      <c r="D299" s="23" t="inlineStr">
        <is>
          <t>2019</t>
        </is>
      </c>
      <c r="E299" s="24" t="inlineStr">
        <is>
          <t>센치감성</t>
        </is>
      </c>
      <c r="F299" s="25" t="inlineStr">
        <is>
          <t>비오는날, 밤바다</t>
        </is>
      </c>
      <c r="G299" s="24" t="inlineStr">
        <is>
          <t>힙합</t>
        </is>
      </c>
      <c r="H299" s="22" t="n"/>
      <c r="I299" s="22">
        <f>IF($H505="","","https://youtu.be/"&amp;$H505)</f>
        <v/>
      </c>
      <c r="J299" s="22">
        <f>IF($H505="","","https://music.youtube.com/watch?v="&amp;$H505)</f>
        <v/>
      </c>
      <c r="K299" s="22">
        <f>IF($H505="","","https://img.youtube.com/vi/"&amp;$H505&amp;"/hqdefault.jpg")</f>
        <v/>
      </c>
      <c r="L299" s="24" t="inlineStr">
        <is>
          <t>확인필요</t>
        </is>
      </c>
      <c r="M299" s="21" t="inlineStr">
        <is>
          <t>N</t>
        </is>
      </c>
      <c r="N299" s="24" t="inlineStr">
        <is>
          <t>높음</t>
        </is>
      </c>
      <c r="O299" s="25" t="inlineStr">
        <is>
          <t>씨앗(검증 전)</t>
        </is>
      </c>
      <c r="P299" s="22" t="inlineStr">
        <is>
          <t>https://www.youtube.com/results?search_query=%EC%97%90%ED%94%BD%ED%95%98%EC%9D%B4%20%EB%B9%84%20%EC%98%A4%EB%8A%94%20%EB%82%A0%20%EB%93%A3%EA%B8%B0%20%EC%A2%8B%EC%9D%80%20%EB%85%B8%EB%9E%98</t>
        </is>
      </c>
      <c r="Q299" s="22" t="inlineStr">
        <is>
          <t>https://music.youtube.com/search?q=%EC%97%90%ED%94%BD%ED%95%98%EC%9D%B4%20%EB%B9%84%20%EC%98%A4%EB%8A%94%20%EB%82%A0%20%EB%93%A3%EA%B8%B0%20%EC%A2%8B%EC%9D%80%20%EB%85%B8%EB%9E%98</t>
        </is>
      </c>
    </row>
    <row r="300" ht="15" customHeight="1" s="17">
      <c r="A300" s="21" t="inlineStr">
        <is>
          <t>S299</t>
        </is>
      </c>
      <c r="B300" s="25" t="inlineStr">
        <is>
          <t>술이 달다</t>
        </is>
      </c>
      <c r="C300" s="25" t="inlineStr">
        <is>
          <t>에픽하이</t>
        </is>
      </c>
      <c r="D300" s="23" t="inlineStr">
        <is>
          <t>2019</t>
        </is>
      </c>
      <c r="E300" s="24" t="inlineStr">
        <is>
          <t>센치감성</t>
        </is>
      </c>
      <c r="F300" s="25" t="inlineStr">
        <is>
          <t>밤바다</t>
        </is>
      </c>
      <c r="G300" s="24" t="inlineStr">
        <is>
          <t>힙합</t>
        </is>
      </c>
      <c r="H300" s="22" t="n"/>
      <c r="I300" s="22">
        <f>IF($H506="","","https://youtu.be/"&amp;$H506)</f>
        <v/>
      </c>
      <c r="J300" s="22">
        <f>IF($H506="","","https://music.youtube.com/watch?v="&amp;$H506)</f>
        <v/>
      </c>
      <c r="K300" s="22">
        <f>IF($H506="","","https://img.youtube.com/vi/"&amp;$H506&amp;"/hqdefault.jpg")</f>
        <v/>
      </c>
      <c r="L300" s="24" t="inlineStr">
        <is>
          <t>확인필요</t>
        </is>
      </c>
      <c r="M300" s="21" t="inlineStr">
        <is>
          <t>N</t>
        </is>
      </c>
      <c r="N300" s="24" t="inlineStr">
        <is>
          <t>높음</t>
        </is>
      </c>
      <c r="O300" s="25" t="inlineStr">
        <is>
          <t>씨앗(검증 전)</t>
        </is>
      </c>
      <c r="P300" s="22" t="inlineStr">
        <is>
          <t>https://www.youtube.com/results?search_query=%EC%97%90%ED%94%BD%ED%95%98%EC%9D%B4%20%EC%88%A0%EC%9D%B4%20%EB%8B%AC%EB%8B%A4</t>
        </is>
      </c>
      <c r="Q300" s="22" t="inlineStr">
        <is>
          <t>https://music.youtube.com/search?q=%EC%97%90%ED%94%BD%ED%95%98%EC%9D%B4%20%EC%88%A0%EC%9D%B4%20%EB%8B%AC%EB%8B%A4</t>
        </is>
      </c>
    </row>
    <row r="301" ht="15" customHeight="1" s="17">
      <c r="A301" s="21" t="inlineStr">
        <is>
          <t>S300</t>
        </is>
      </c>
      <c r="B301" s="25" t="inlineStr">
        <is>
          <t>비가 와</t>
        </is>
      </c>
      <c r="C301" s="25" t="inlineStr">
        <is>
          <t>소유, 백현</t>
        </is>
      </c>
      <c r="D301" s="23" t="inlineStr">
        <is>
          <t>2017</t>
        </is>
      </c>
      <c r="E301" s="24" t="inlineStr">
        <is>
          <t>센치감성</t>
        </is>
      </c>
      <c r="F301" s="25" t="inlineStr">
        <is>
          <t>비오는날, 밤바다</t>
        </is>
      </c>
      <c r="G301" s="24" t="inlineStr">
        <is>
          <t>기타</t>
        </is>
      </c>
      <c r="H301" s="22" t="inlineStr">
        <is>
          <t>1Q8J5nghxiM</t>
        </is>
      </c>
      <c r="I301" s="22">
        <f>IF($H512="","","https://youtu.be/"&amp;$H512)</f>
        <v/>
      </c>
      <c r="J301" s="22">
        <f>IF($H512="","","https://music.youtube.com/watch?v="&amp;$H512)</f>
        <v/>
      </c>
      <c r="K301" s="22">
        <f>IF($H512="","","https://img.youtube.com/vi/"&amp;$H512&amp;"/hqdefault.jpg")</f>
        <v/>
      </c>
      <c r="L301" s="24" t="inlineStr">
        <is>
          <t>확인필요</t>
        </is>
      </c>
      <c r="M301" s="21" t="inlineStr">
        <is>
          <t>N</t>
        </is>
      </c>
      <c r="N301" s="24" t="inlineStr">
        <is>
          <t>높음</t>
        </is>
      </c>
      <c r="O301" s="25" t="inlineStr">
        <is>
          <t>참조: 정민재 '비 오는 날 듣는 가요 30'</t>
        </is>
      </c>
      <c r="P301" s="22" t="inlineStr">
        <is>
          <t>https://youtu.be/1Q8J5nghxiM</t>
        </is>
      </c>
      <c r="Q301" s="22" t="inlineStr">
        <is>
          <t>https://music.youtube.com/watch?v=1Q8J5nghxiM</t>
        </is>
      </c>
    </row>
  </sheetData>
  <autoFilter ref="A1:Q512"/>
  <dataValidations count="5">
    <dataValidation sqref="E2:E512" showDropDown="0" showInputMessage="0" showErrorMessage="0" allowBlank="1" type="list" errorStyle="stop" operator="between">
      <formula1>"상큼발랄,청량시원,설렘두근,센치감성"</formula1>
      <formula2>0</formula2>
    </dataValidation>
    <dataValidation sqref="G2:G512" showDropDown="0" showInputMessage="0" showErrorMessage="0" allowBlank="1" type="list" errorStyle="stop" operator="between">
      <formula1>"여돌,남돌,솔로,밴드,그룹,힙합,기타"</formula1>
      <formula2>0</formula2>
    </dataValidation>
    <dataValidation sqref="L2:L512" showDropDown="0" showInputMessage="0" showErrorMessage="0" allowBlank="1" type="list" errorStyle="stop" operator="between">
      <formula1>"Y,확인필요,N"</formula1>
      <formula2>0</formula2>
    </dataValidation>
    <dataValidation sqref="M2:M512" showDropDown="0" showInputMessage="0" showErrorMessage="0" allowBlank="1" type="list" errorStyle="stop" operator="between">
      <formula1>"Y,N"</formula1>
      <formula2>0</formula2>
    </dataValidation>
    <dataValidation sqref="N2:N512" showDropDown="0" showInputMessage="0" showErrorMessage="0" allowBlank="1" type="list" errorStyle="stop" operator="between">
      <formula1>"높음,보통,낮음"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6" min="1" max="1"/>
    <col width="10" customWidth="1" style="16" min="2" max="2"/>
  </cols>
  <sheetData>
    <row r="1" ht="18.75" customHeight="1" s="17">
      <c r="A1" s="26" t="inlineStr">
        <is>
          <t>카테고리별 집계 (자동 계산)</t>
        </is>
      </c>
    </row>
    <row r="2" ht="15" customHeight="1" s="17">
      <c r="A2" s="27" t="inlineStr">
        <is>
          <t>총 곡수</t>
        </is>
      </c>
      <c r="B2" s="16">
        <f>COUNTA(큐레이션마스터!A2:A512)</f>
        <v/>
      </c>
    </row>
    <row r="4" ht="15" customHeight="1" s="17">
      <c r="A4" s="28" t="inlineStr">
        <is>
          <t>무드</t>
        </is>
      </c>
    </row>
    <row r="5" ht="15" customHeight="1" s="17">
      <c r="A5" s="29" t="inlineStr">
        <is>
          <t>항목</t>
        </is>
      </c>
      <c r="B5" s="29" t="inlineStr">
        <is>
          <t>곡수</t>
        </is>
      </c>
    </row>
    <row r="6" ht="15" customHeight="1" s="17">
      <c r="A6" s="30" t="inlineStr">
        <is>
          <t>상큼발랄</t>
        </is>
      </c>
      <c r="B6" s="30">
        <f>COUNTIF(큐레이션마스터!$E$2:$E$512,"상큼발랄")</f>
        <v/>
      </c>
    </row>
    <row r="7" ht="15" customHeight="1" s="17">
      <c r="A7" s="30" t="inlineStr">
        <is>
          <t>청량시원</t>
        </is>
      </c>
      <c r="B7" s="30">
        <f>COUNTIF(큐레이션마스터!$E$2:$E$512,"청량시원")</f>
        <v/>
      </c>
    </row>
    <row r="8" ht="15" customHeight="1" s="17">
      <c r="A8" s="30" t="inlineStr">
        <is>
          <t>설렘두근</t>
        </is>
      </c>
      <c r="B8" s="30">
        <f>COUNTIF(큐레이션마스터!$E$2:$E$512,"설렘두근")</f>
        <v/>
      </c>
    </row>
    <row r="9" ht="15" customHeight="1" s="17">
      <c r="A9" s="30" t="inlineStr">
        <is>
          <t>센치감성</t>
        </is>
      </c>
      <c r="B9" s="30">
        <f>COUNTIF(큐레이션마스터!$E$2:$E$512,"센치감성")</f>
        <v/>
      </c>
    </row>
    <row r="11" ht="15" customHeight="1" s="17">
      <c r="A11" s="28" t="inlineStr">
        <is>
          <t>순간</t>
        </is>
      </c>
    </row>
    <row r="12" ht="15" customHeight="1" s="17">
      <c r="A12" s="29" t="inlineStr">
        <is>
          <t>항목</t>
        </is>
      </c>
      <c r="B12" s="29" t="inlineStr">
        <is>
          <t>곡수</t>
        </is>
      </c>
    </row>
    <row r="13" ht="15" customHeight="1" s="17">
      <c r="A13" s="30" t="inlineStr">
        <is>
          <t>바다</t>
        </is>
      </c>
      <c r="B13" s="30">
        <f>COUNTIF(큐레이션마스터!$F$2:$F$512,"*바다*")-COUNTIF(큐레이션마스터!$F$2:$F$512,"*밤바다*")</f>
        <v/>
      </c>
    </row>
    <row r="14" ht="15" customHeight="1" s="17">
      <c r="A14" s="30" t="inlineStr">
        <is>
          <t>드라이브</t>
        </is>
      </c>
      <c r="B14" s="30">
        <f>COUNTIF(큐레이션마스터!$F$2:$F$512,"*드라이브*")</f>
        <v/>
      </c>
    </row>
    <row r="15" ht="15" customHeight="1" s="17">
      <c r="A15" s="30" t="inlineStr">
        <is>
          <t>밤바다</t>
        </is>
      </c>
      <c r="B15" s="30">
        <f>COUNTIF(큐레이션마스터!$F$2:$F$512,"*밤바다*")</f>
        <v/>
      </c>
    </row>
    <row r="16" ht="15" customHeight="1" s="17">
      <c r="A16" s="30" t="inlineStr">
        <is>
          <t>비오는날</t>
        </is>
      </c>
      <c r="B16" s="30">
        <f>COUNTIF(큐레이션마스터!$F$2:$F$512,"*비오는날*")</f>
        <v/>
      </c>
    </row>
    <row r="18" ht="15" customHeight="1" s="17">
      <c r="A18" s="28" t="inlineStr">
        <is>
          <t>그룹</t>
        </is>
      </c>
    </row>
    <row r="19" ht="15" customHeight="1" s="17">
      <c r="A19" s="29" t="inlineStr">
        <is>
          <t>항목</t>
        </is>
      </c>
      <c r="B19" s="29" t="inlineStr">
        <is>
          <t>곡수</t>
        </is>
      </c>
    </row>
    <row r="20" ht="15" customHeight="1" s="17">
      <c r="A20" s="30" t="inlineStr">
        <is>
          <t>여돌</t>
        </is>
      </c>
      <c r="B20" s="30">
        <f>COUNTIF(큐레이션마스터!$G$2:$G$512,"여돌")</f>
        <v/>
      </c>
    </row>
    <row r="21" ht="15" customHeight="1" s="17">
      <c r="A21" s="30" t="inlineStr">
        <is>
          <t>남돌</t>
        </is>
      </c>
      <c r="B21" s="30">
        <f>COUNTIF(큐레이션마스터!$G$2:$G$512,"남돌")</f>
        <v/>
      </c>
    </row>
    <row r="22" ht="15" customHeight="1" s="17">
      <c r="A22" s="30" t="inlineStr">
        <is>
          <t>솔로</t>
        </is>
      </c>
      <c r="B22" s="30">
        <f>COUNTIF(큐레이션마스터!$G$2:$G$512,"솔로")</f>
        <v/>
      </c>
    </row>
    <row r="23" ht="15" customHeight="1" s="17">
      <c r="A23" s="30" t="inlineStr">
        <is>
          <t>밴드</t>
        </is>
      </c>
      <c r="B23" s="30">
        <f>COUNTIF(큐레이션마스터!$G$2:$G$512,"밴드")</f>
        <v/>
      </c>
    </row>
    <row r="24" ht="15" customHeight="1" s="17">
      <c r="A24" s="30" t="inlineStr">
        <is>
          <t>그룹</t>
        </is>
      </c>
      <c r="B24" s="30">
        <f>COUNTIF(큐레이션마스터!$G$2:$G$512,"그룹")</f>
        <v/>
      </c>
    </row>
    <row r="25" ht="15" customHeight="1" s="17">
      <c r="A25" s="30" t="inlineStr">
        <is>
          <t>힙합</t>
        </is>
      </c>
      <c r="B25" s="30">
        <f>COUNTIF(큐레이션마스터!$G$2:$G$512,"힙합")</f>
        <v/>
      </c>
    </row>
    <row r="26" ht="15" customHeight="1" s="17">
      <c r="A26" s="30" t="inlineStr">
        <is>
          <t>기타</t>
        </is>
      </c>
      <c r="B26" s="30">
        <f>COUNTIF(큐레이션마스터!$G$2:$G$512,"기타")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6" min="1" max="1"/>
    <col width="44" customWidth="1" style="16" min="2" max="2"/>
    <col width="34" customWidth="1" style="16" min="3" max="3"/>
  </cols>
  <sheetData>
    <row r="1" ht="16.5" customHeight="1" s="17">
      <c r="A1" s="28" t="inlineStr">
        <is>
          <t>카테고리 체계 (3축) · 메인 타겟 20~30대 · 2010년 이후 곡만</t>
        </is>
      </c>
    </row>
    <row r="3" ht="15" customHeight="1" s="17">
      <c r="A3" s="19" t="inlineStr">
        <is>
          <t>축</t>
        </is>
      </c>
      <c r="B3" s="19" t="inlineStr">
        <is>
          <t>값</t>
        </is>
      </c>
      <c r="C3" s="19" t="inlineStr">
        <is>
          <t>비고</t>
        </is>
      </c>
    </row>
    <row r="4" ht="15" customHeight="1" s="17">
      <c r="A4" s="25" t="inlineStr">
        <is>
          <t>무드(감정,1개)</t>
        </is>
      </c>
      <c r="B4" s="25" t="inlineStr">
        <is>
          <t>상큼발랄 / 청량시원 / 설렘두근 / 센치감성</t>
        </is>
      </c>
      <c r="C4" s="25" t="inlineStr">
        <is>
          <t>곡당 1개</t>
        </is>
      </c>
    </row>
    <row r="5" ht="15" customHeight="1" s="17">
      <c r="A5" s="25" t="inlineStr">
        <is>
          <t>순간(상황,다중)</t>
        </is>
      </c>
      <c r="B5" s="25" t="inlineStr">
        <is>
          <t>바다 / 드라이브 / 밤바다 / 비오는날</t>
        </is>
      </c>
      <c r="C5" s="25" t="inlineStr">
        <is>
          <t>무드 기반 재분배로 균형화</t>
        </is>
      </c>
    </row>
    <row r="6" ht="15" customHeight="1" s="17">
      <c r="A6" s="25" t="inlineStr">
        <is>
          <t>아티스트(그룹)</t>
        </is>
      </c>
      <c r="B6" s="25" t="inlineStr">
        <is>
          <t>여돌 / 남돌 / 솔로 / 밴드 / 그룹 / 힙합 / 기타</t>
        </is>
      </c>
      <c r="C6" s="25" t="inlineStr">
        <is>
          <t>여돌=상큼, 남돌=청량 강조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4" customWidth="1" style="16" min="1" max="1"/>
  </cols>
  <sheetData>
    <row r="1" ht="15" customHeight="1" s="17">
      <c r="A1" s="26" t="inlineStr">
        <is>
          <t>사용 가이드</t>
        </is>
      </c>
    </row>
    <row r="3" ht="15" customHeight="1" s="17">
      <c r="A3" s="31" t="inlineStr">
        <is>
          <t>1) videoId(11자리)만 넣으면 유튜브/유튜브뮤직/썸네일 URL 자동 생성.</t>
        </is>
      </c>
    </row>
    <row r="4" ht="15" customHeight="1" s="17">
      <c r="A4" s="31" t="inlineStr">
        <is>
          <t>2) 전 곡 2010년 이후, 봄/가을/겨울 곡 제외. 그룹→무드→연도순 정렬.</t>
        </is>
      </c>
    </row>
    <row r="5" ht="15" customHeight="1" s="17">
      <c r="A5" s="31" t="inlineStr">
        <is>
          <t>3) 순간 태그는 무드 기반으로 재분배해 4개 카테고리를 균형화(검증 시 곡별로 미세조정 가능).</t>
        </is>
      </c>
    </row>
    <row r="6" ht="15" customHeight="1" s="17">
      <c r="A6" s="31" t="inlineStr">
        <is>
          <t>4) 대부분 '검증 전' 씨앗 → 공식 영상·연도 확인 후 검증완료=Y.</t>
        </is>
      </c>
    </row>
    <row r="7" ht="15" customHeight="1" s="17">
      <c r="A7" s="31" t="inlineStr">
        <is>
          <t>5) videoId는 비오는날 10곡만 확보(참조 아티클) → 공식 채널 재확인 필요.</t>
        </is>
      </c>
    </row>
    <row r="8" ht="15" customHeight="1" s="17">
      <c r="A8" s="31" t="inlineStr">
        <is>
          <t>6) 집계 시트에서 무드/순간/그룹 곡수 자동 확인. 상단 필터로 즉시 플레이리스트 추출.</t>
        </is>
      </c>
    </row>
    <row r="9" ht="15" customHeight="1" s="17">
      <c r="A9" s="31" t="inlineStr">
        <is>
          <t>7) 출처: 여자아이돌·밴드/인디=웹 리서치, 남자아이돌·힙합/시즌송=큐레이션 지식(연도 검증 권장).</t>
        </is>
      </c>
    </row>
    <row r="11">
      <c r="A11" s="32" t="inlineStr">
        <is>
          <t>[열기(자동) 컬럼 안내]</t>
        </is>
      </c>
    </row>
    <row r="12">
      <c r="A12" s="33" t="inlineStr">
        <is>
          <t>· P/Q '유튜브 열기(자동)/유튜브뮤직 열기(자동)'은 모든 곡에서 즉시 동작하는 링크입니다.</t>
        </is>
      </c>
    </row>
    <row r="13">
      <c r="A13" s="33" t="inlineStr">
        <is>
          <t xml:space="preserve">  - videoId가 있으면 해당 영상 직접 재생, 없으면 '아티스트 곡명' 검색 결과로 열림(대개 최상단이 공식).</t>
        </is>
      </c>
    </row>
    <row r="14">
      <c r="A14" s="33" t="inlineStr">
        <is>
          <t xml:space="preserve">  - 앱의 openURL에 이 컬럼을 넣으면 300곡 전부 바로 재생 가능(검증 불필요).</t>
        </is>
      </c>
    </row>
    <row r="15">
      <c r="A15" s="33" t="inlineStr">
        <is>
          <t>· 정확한 직접재생+썸네일이 필요하면 videoId(H열)를 채우세요. 채우면 I/J/K(URL·썸네일)가 자동 생성됩니다.</t>
        </is>
      </c>
    </row>
    <row r="16">
      <c r="A16" s="33" t="inlineStr">
        <is>
          <t>· videoId 대량 확보는 유튜브 데이터 API 키로 스크립트 채우기 권장(검색 100유닛/건, 무료쿼터 하루 약 100건).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2026-07-07T02:53:33Z</dcterms:created>
  <dcterms:modified xmlns:dcterms="http://purl.org/dc/terms/" xmlns:xsi="http://www.w3.org/2001/XMLSchema-instance" xsi:type="dcterms:W3CDTF">2026-07-07T03:03:57Z</dcterms:modified>
  <cp:revision>0</cp:revision>
</cp:coreProperties>
</file>